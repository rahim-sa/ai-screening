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Use Case Master" sheetId="2" state="visible" r:id="rId4"/>
    <sheet name="Forms (what to prescribe)" sheetId="3" state="visible" r:id="rId5"/>
    <sheet name="When AI is not needed" sheetId="4" state="visible" r:id="rId6"/>
    <sheet name="Summary" sheetId="5" state="visible" r:id="rId7"/>
    <sheet name="Lookups" sheetId="6" state="visible" r:id="rId8"/>
  </sheets>
  <definedNames>
    <definedName function="false" hidden="true" localSheetId="1" name="_xlnm._FilterDatabase" vbProcedure="false">'Use Case Master'!$A$1:$W$95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<sst xmlns="http://schemas.openxmlformats.org/spreadsheetml/2006/main" count="1101" uniqueCount="640">
  <si>
    <t xml:space="preserve">AI use case library and client audit</t>
  </si>
  <si>
    <t xml:space="preserve">Use Case Master: one row per use case. Read each row left to right: what it is, how to recognize it in an interview, data needed, technology, what to prescribe (Form), tools, what to measure first, risks, and when NOT to prescribe it.</t>
  </si>
  <si>
    <t xml:space="preserve">Filter any column with the header arrows (by industry, department, business type, technology or form).</t>
  </si>
  <si>
    <t xml:space="preserve">Forms (what to prescribe): the 11 concrete forms a recommendation can take. Forms 1-7 are LLM-related; 8-11 are other approaches.</t>
  </si>
  <si>
    <t xml:space="preserve">When AI is not needed: situations where the honest answer is no, and what to suggest instead.</t>
  </si>
  <si>
    <t xml:space="preserve">Client audit (columns P-U): fill in per client: existing tool, whether it has an AI feature, enabled, used, % of the need it already covers. Gap and next step calculate automatically (threshold in Lookups!B26).</t>
  </si>
  <si>
    <t xml:space="preserve">Blue text = cells you type in. Yellow-shaded cells in row 2 are EXAMPLE audit values; overwrite them. 40 empty rows at the bottom are ready for client-specific use cases.</t>
  </si>
  <si>
    <t xml:space="preserve">Important: ratings, tool names and risk notes are general starting points from my general knowledge, not facts about a specific company. Vendor products and features change quickly: verify tools and licensing before recommending. No savings figures are included on purpose; set them from each client's baseline and test in a pilot.</t>
  </si>
  <si>
    <t xml:space="preserve">ID</t>
  </si>
  <si>
    <t xml:space="preserve">Business type</t>
  </si>
  <si>
    <t xml:space="preserve">Industry</t>
  </si>
  <si>
    <t xml:space="preserve">Department</t>
  </si>
  <si>
    <t xml:space="preserve">Specific use case</t>
  </si>
  <si>
    <t xml:space="preserve">How to recognize it (signals in the interview)</t>
  </si>
  <si>
    <t xml:space="preserve">Data needed</t>
  </si>
  <si>
    <t xml:space="preserve">Technology</t>
  </si>
  <si>
    <t xml:space="preserve">Form to prescribe</t>
  </si>
  <si>
    <t xml:space="preserve">Example tools (check current)</t>
  </si>
  <si>
    <t xml:space="preserve">Metric to baseline first</t>
  </si>
  <si>
    <t xml:space="preserve">Main risk and mitigation</t>
  </si>
  <si>
    <t xml:space="preserve">When NOT to prescribe</t>
  </si>
  <si>
    <t xml:space="preserve">Need level</t>
  </si>
  <si>
    <t xml:space="preserve">Cost range</t>
  </si>
  <si>
    <t xml:space="preserve">Client's existing tool</t>
  </si>
  <si>
    <t xml:space="preserve">Has AI feature?</t>
  </si>
  <si>
    <t xml:space="preserve">Enabled?</t>
  </si>
  <si>
    <t xml:space="preserve">Used?</t>
  </si>
  <si>
    <t xml:space="preserve">Covers the need (%)</t>
  </si>
  <si>
    <t xml:space="preserve">Gap (%)</t>
  </si>
  <si>
    <t xml:space="preserve">Suggested next step</t>
  </si>
  <si>
    <t xml:space="preserve">Notes</t>
  </si>
  <si>
    <t xml:space="preserve">U01</t>
  </si>
  <si>
    <t xml:space="preserve">Conversation-heavy</t>
  </si>
  <si>
    <t xml:space="preserve">Cross-industry</t>
  </si>
  <si>
    <t xml:space="preserve">Customer service</t>
  </si>
  <si>
    <t xml:space="preserve">Answer first-line questions from the help center</t>
  </si>
  <si>
    <t xml:space="preserve">Same questions keep coming; agents search old tickets; first response is slow; a help center exists</t>
  </si>
  <si>
    <t xml:space="preserve">Help articles, FAQs, past tickets (cleaned)</t>
  </si>
  <si>
    <t xml:space="preserve">RAG + LLM</t>
  </si>
  <si>
    <t xml:space="preserve">2 Feature in existing tool</t>
  </si>
  <si>
    <t xml:space="preserve">Zendesk AI, Intercom Fin, Freshdesk Freddy; custom RAG if none</t>
  </si>
  <si>
    <t xml:space="preserve">First response time, tickets per agent, share resolved without human</t>
  </si>
  <si>
    <t xml:space="preserve">Wrong answers: show sources, escalate when unsure, agents review at first</t>
  </si>
  <si>
    <t xml:space="preserve">Very few tickets per month, or the help center is outdated or empty (fix content first)</t>
  </si>
  <si>
    <t xml:space="preserve">Very high</t>
  </si>
  <si>
    <t xml:space="preserve">Low</t>
  </si>
  <si>
    <t xml:space="preserve">Zendesk (Advanced AI add-on)</t>
  </si>
  <si>
    <t xml:space="preserve">Yes</t>
  </si>
  <si>
    <t xml:space="preserve">No</t>
  </si>
  <si>
    <t xml:space="preserve">EXAMPLE audit values - overwrite with real client data</t>
  </si>
  <si>
    <t xml:space="preserve">U02</t>
  </si>
  <si>
    <t xml:space="preserve">Ticket triage, tagging, routing and summaries</t>
  </si>
  <si>
    <t xml:space="preserve">Tickets are misrouted or tagged by hand; agents reread long threads</t>
  </si>
  <si>
    <t xml:space="preserve">Ticket text and existing categories</t>
  </si>
  <si>
    <t xml:space="preserve">LLM</t>
  </si>
  <si>
    <t xml:space="preserve">Helpdesk built-ins; LLM API for custom rules</t>
  </si>
  <si>
    <t xml:space="preserve">Misrouting rate, time to first assignment, handling time</t>
  </si>
  <si>
    <t xml:space="preserve">Low: human can fix tags; avoid auto-closing tickets</t>
  </si>
  <si>
    <t xml:space="preserve">Tiny team where one person sees every ticket anyway</t>
  </si>
  <si>
    <t xml:space="preserve">High</t>
  </si>
  <si>
    <t xml:space="preserve">U03</t>
  </si>
  <si>
    <t xml:space="preserve">Sales &amp; marketing</t>
  </si>
  <si>
    <t xml:space="preserve">Lead scoring</t>
  </si>
  <si>
    <t xml:space="preserve">Sales chases leads without priority; CRM holds a long history of won and lost deals</t>
  </si>
  <si>
    <t xml:space="preserve">CRM history: lead source, activity, outcome</t>
  </si>
  <si>
    <t xml:space="preserve">Classical ML</t>
  </si>
  <si>
    <t xml:space="preserve">HubSpot, Salesforce built-in scoring; custom model if data is rich</t>
  </si>
  <si>
    <t xml:space="preserve">Conversion rate by lead tier, time per won deal</t>
  </si>
  <si>
    <t xml:space="preserve">Biased or stale scoring: retrain, compare with a simple rules baseline</t>
  </si>
  <si>
    <t xml:space="preserve">Few deals in history or inconsistent CRM entries; a rules-based score is enough</t>
  </si>
  <si>
    <t xml:space="preserve">Medium</t>
  </si>
  <si>
    <t xml:space="preserve">U04</t>
  </si>
  <si>
    <t xml:space="preserve">Document-heavy</t>
  </si>
  <si>
    <t xml:space="preserve">Proposal and RFP drafting from past answers</t>
  </si>
  <si>
    <t xml:space="preserve">Sales engineers rewrite similar answers; each RFP takes days; an answer library already exists</t>
  </si>
  <si>
    <t xml:space="preserve">Past proposals, product documentation</t>
  </si>
  <si>
    <t xml:space="preserve">4 RAG on documents</t>
  </si>
  <si>
    <t xml:space="preserve">Loopio, Responsive; Microsoft Copilot; custom RAG</t>
  </si>
  <si>
    <t xml:space="preserve">Hours per proposal, win rate, review corrections</t>
  </si>
  <si>
    <t xml:space="preserve">Wrong commitments: mandatory expert review, source citation</t>
  </si>
  <si>
    <t xml:space="preserve">Few proposals per year; every proposal is unique</t>
  </si>
  <si>
    <t xml:space="preserve">U05</t>
  </si>
  <si>
    <t xml:space="preserve">Content drafting and localization</t>
  </si>
  <si>
    <t xml:space="preserve">Small marketing team, high demand for texts in several languages</t>
  </si>
  <si>
    <t xml:space="preserve">Brand guidelines, past content</t>
  </si>
  <si>
    <t xml:space="preserve">1 Ready assistant</t>
  </si>
  <si>
    <t xml:space="preserve">ChatGPT, Claude, Copilot, Gemini</t>
  </si>
  <si>
    <t xml:space="preserve">Drafts per week, editing time, cost per translated page</t>
  </si>
  <si>
    <t xml:space="preserve">Brand tone, factual errors, confidential data in prompts: usage policy</t>
  </si>
  <si>
    <t xml:space="preserve">Strict regulated claims (pharma, finance) without review process</t>
  </si>
  <si>
    <t xml:space="preserve">U06</t>
  </si>
  <si>
    <t xml:space="preserve">Finance &amp; accounting</t>
  </si>
  <si>
    <t xml:space="preserve">Invoice and receipt data extraction</t>
  </si>
  <si>
    <t xml:space="preserve">Staff retype invoices into the ERP; many suppliers with different formats</t>
  </si>
  <si>
    <t xml:space="preserve">Invoices (PDF, scans), ERP supplier and PO data</t>
  </si>
  <si>
    <t xml:space="preserve">Document AI + LLM</t>
  </si>
  <si>
    <t xml:space="preserve">ERP/accounting built-ins, Azure Document Intelligence, ABBYY, Rossum</t>
  </si>
  <si>
    <t xml:space="preserve">Cost per invoice, processing time, error rate, share needing manual fix</t>
  </si>
  <si>
    <t xml:space="preserve">Misread amounts: validation against PO, human check on low confidence</t>
  </si>
  <si>
    <t xml:space="preserve">Low volume, or suppliers already send structured e-invoices (integrate instead)</t>
  </si>
  <si>
    <t xml:space="preserve">U07</t>
  </si>
  <si>
    <t xml:space="preserve">Transaction-heavy</t>
  </si>
  <si>
    <t xml:space="preserve">Anomaly detection in payments and expenses</t>
  </si>
  <si>
    <t xml:space="preserve">Audits find errors late; duplicate or odd payments appear; lots of transactions</t>
  </si>
  <si>
    <t xml:space="preserve">Transaction history, vendor master data</t>
  </si>
  <si>
    <t xml:space="preserve">Anomaly detection</t>
  </si>
  <si>
    <t xml:space="preserve">8 Classical ML project</t>
  </si>
  <si>
    <t xml:space="preserve">ERP/spend tools with built-in flags; custom isolation-forest style models</t>
  </si>
  <si>
    <t xml:space="preserve">Amount recovered, false-alert rate, detection delay</t>
  </si>
  <si>
    <t xml:space="preserve">Alert flood: tune thresholds, review queue</t>
  </si>
  <si>
    <t xml:space="preserve">Small transaction volume; simple rules (duplicates, limits) catch most issues</t>
  </si>
  <si>
    <t xml:space="preserve">U08</t>
  </si>
  <si>
    <t xml:space="preserve">Operations</t>
  </si>
  <si>
    <t xml:space="preserve">Demand forecasting by product or location</t>
  </si>
  <si>
    <t xml:space="preserve">Stockouts and overstock at once; forecasts made in Excel by gut; years of sales history by SKU</t>
  </si>
  <si>
    <t xml:space="preserve">Sales history by SKU, prices, promotions, calendar</t>
  </si>
  <si>
    <t xml:space="preserve">Forecasting modules in ERP/planning tools; Python (gradient boosting)</t>
  </si>
  <si>
    <t xml:space="preserve">Forecast error (MAPE), stockout rate, inventory days</t>
  </si>
  <si>
    <t xml:space="preserve">Overtrusting forecasts: always compare with a simple baseline first</t>
  </si>
  <si>
    <t xml:space="preserve">Mostly new products with no history, or few SKUs where simple averages work</t>
  </si>
  <si>
    <t xml:space="preserve">U09</t>
  </si>
  <si>
    <t xml:space="preserve">HR</t>
  </si>
  <si>
    <t xml:space="preserve">Internal policy and benefits Q&amp;A</t>
  </si>
  <si>
    <t xml:space="preserve">HR answers the same questions all day; policies are written and up to date</t>
  </si>
  <si>
    <t xml:space="preserve">HR policies, handbooks</t>
  </si>
  <si>
    <t xml:space="preserve">Microsoft Copilot, HR suite assistants, custom RAG</t>
  </si>
  <si>
    <t xml:space="preserve">HR tickets per month, answer time</t>
  </si>
  <si>
    <t xml:space="preserve">Wrong or confidential answers: access control, link to policy source</t>
  </si>
  <si>
    <t xml:space="preserve">Policies are outdated or contradictory; fix them first</t>
  </si>
  <si>
    <t xml:space="preserve">U10</t>
  </si>
  <si>
    <t xml:space="preserve">Expert judgment</t>
  </si>
  <si>
    <t xml:space="preserve">CV screening support</t>
  </si>
  <si>
    <t xml:space="preserve">Hundreds of applications per role; recruiters overloaded</t>
  </si>
  <si>
    <t xml:space="preserve">CVs, job descriptions, past hiring outcomes</t>
  </si>
  <si>
    <t xml:space="preserve">3 LLM via API</t>
  </si>
  <si>
    <t xml:space="preserve">ATS built-in features</t>
  </si>
  <si>
    <t xml:space="preserve">Time to shortlist, quality of hire</t>
  </si>
  <si>
    <t xml:space="preserve">High-risk: bias and legal exposure (employment AI is high-risk under the EU AI Act); human decides, document criteria</t>
  </si>
  <si>
    <t xml:space="preserve">Never as auto-reject; avoid if no bias testing is possible</t>
  </si>
  <si>
    <t xml:space="preserve">U11</t>
  </si>
  <si>
    <t xml:space="preserve">Legal &amp; compliance</t>
  </si>
  <si>
    <t xml:space="preserve">Contract clause extraction and review support</t>
  </si>
  <si>
    <t xml:space="preserve">Lawyers read similar contracts line by line; playbook of preferred clauses exists</t>
  </si>
  <si>
    <t xml:space="preserve">Contracts, clause playbook</t>
  </si>
  <si>
    <t xml:space="preserve">Harvey, Luminance, Microsoft Copilot, custom API workflow</t>
  </si>
  <si>
    <t xml:space="preserve">Review time per contract, missed-clause rate</t>
  </si>
  <si>
    <t xml:space="preserve">Missed or invented clauses: lawyer signs off every output; confidentiality terms with vendor</t>
  </si>
  <si>
    <t xml:space="preserve">Rare, bespoke contracts with little repetition</t>
  </si>
  <si>
    <t xml:space="preserve">U12</t>
  </si>
  <si>
    <t xml:space="preserve">IT</t>
  </si>
  <si>
    <t xml:space="preserve">Code assistant for developers</t>
  </si>
  <si>
    <t xml:space="preserve">In-house developers; routine coding, tests and documentation take time</t>
  </si>
  <si>
    <t xml:space="preserve">Codebase (stays under company control)</t>
  </si>
  <si>
    <t xml:space="preserve">GitHub Copilot, Claude Code, Cursor</t>
  </si>
  <si>
    <t xml:space="preserve">Cycle time, pull request throughput, defect rate</t>
  </si>
  <si>
    <t xml:space="preserve">Insecure code, leaked source: code review, license and data settings</t>
  </si>
  <si>
    <t xml:space="preserve">No developers</t>
  </si>
  <si>
    <t xml:space="preserve">U13</t>
  </si>
  <si>
    <t xml:space="preserve">Knowledge management</t>
  </si>
  <si>
    <t xml:space="preserve">Internal search across files, wikis and chats</t>
  </si>
  <si>
    <t xml:space="preserve">People ask colleagues because they can't find documents; knowledge sits in few heads</t>
  </si>
  <si>
    <t xml:space="preserve">SharePoint, Drive, wiki, tickets</t>
  </si>
  <si>
    <t xml:space="preserve">Microsoft Copilot, Google Workspace, Glean; custom RAG</t>
  </si>
  <si>
    <t xml:space="preserve">Search time, repeated questions, onboarding time</t>
  </si>
  <si>
    <t xml:space="preserve">Showing documents users should not see: permission-aware retrieval</t>
  </si>
  <si>
    <t xml:space="preserve">Messy, duplicated documents; clean the content first</t>
  </si>
  <si>
    <t xml:space="preserve">U14</t>
  </si>
  <si>
    <t xml:space="preserve">Meeting notes, summaries and action items</t>
  </si>
  <si>
    <t xml:space="preserve">Many meetings, notes missing or inconsistent</t>
  </si>
  <si>
    <t xml:space="preserve">Meeting audio or transcripts</t>
  </si>
  <si>
    <t xml:space="preserve">Speech-to-text + LLM</t>
  </si>
  <si>
    <t xml:space="preserve">Teams, Zoom, Meet built-ins; Otter, Fireflies</t>
  </si>
  <si>
    <t xml:space="preserve">Time spent writing notes, action items completed</t>
  </si>
  <si>
    <t xml:space="preserve">Privacy and recording consent: policy and notices</t>
  </si>
  <si>
    <t xml:space="preserve">Highly confidential meetings</t>
  </si>
  <si>
    <t xml:space="preserve">U15</t>
  </si>
  <si>
    <t xml:space="preserve">Banking</t>
  </si>
  <si>
    <t xml:space="preserve">Risk</t>
  </si>
  <si>
    <t xml:space="preserve">Credit scoring</t>
  </si>
  <si>
    <t xml:space="preserve">Lender with structured application and repayment history; decisions slow or inconsistent</t>
  </si>
  <si>
    <t xml:space="preserve">Application data, repayment history, bureau data</t>
  </si>
  <si>
    <t xml:space="preserve">Vendor scoring platforms; custom gradient boosting models</t>
  </si>
  <si>
    <t xml:space="preserve">Default rate, approval speed, approval rate</t>
  </si>
  <si>
    <t xml:space="preserve">High: regulation, explainability, bias; model governance required</t>
  </si>
  <si>
    <t xml:space="preserve">Not a lender; short history; no explainability available</t>
  </si>
  <si>
    <t xml:space="preserve">U16</t>
  </si>
  <si>
    <t xml:space="preserve">Card and payment fraud detection</t>
  </si>
  <si>
    <t xml:space="preserve">Fraud losses grow; static rules cause many false alarms</t>
  </si>
  <si>
    <t xml:space="preserve">Transaction streams, labeled fraud cases</t>
  </si>
  <si>
    <t xml:space="preserve">Feedzai, Featurespace, processor tools; custom ML</t>
  </si>
  <si>
    <t xml:space="preserve">Fraud loss rate, false-positive rate, decision latency</t>
  </si>
  <si>
    <t xml:space="preserve">Adversaries adapt: retrain often, keep rules as backup</t>
  </si>
  <si>
    <t xml:space="preserve">Low volume; payment provider already handles fraud</t>
  </si>
  <si>
    <t xml:space="preserve">U17</t>
  </si>
  <si>
    <t xml:space="preserve">Back office</t>
  </si>
  <si>
    <t xml:space="preserve">KYC and loan document checks</t>
  </si>
  <si>
    <t xml:space="preserve">Staff check IDs, statements and forms manually; onboarding takes days</t>
  </si>
  <si>
    <t xml:space="preserve">ID scans, statements, forms</t>
  </si>
  <si>
    <t xml:space="preserve">Onfido, Azure Document Intelligence; ABBYY</t>
  </si>
  <si>
    <t xml:space="preserve">Onboarding time, manual review rate, error rate</t>
  </si>
  <si>
    <t xml:space="preserve">Missed forgery and regulatory exposure: human review on low confidence</t>
  </si>
  <si>
    <t xml:space="preserve">No digital intake yet (digitize first)</t>
  </si>
  <si>
    <t xml:space="preserve">U18</t>
  </si>
  <si>
    <t xml:space="preserve">Alert triage for transaction monitoring</t>
  </si>
  <si>
    <t xml:space="preserve">Compliance analysts drown in false alerts</t>
  </si>
  <si>
    <t xml:space="preserve">Alerts, case outcomes, customer profiles</t>
  </si>
  <si>
    <t xml:space="preserve">Vendor AML platforms; custom ranking model plus LLM summaries</t>
  </si>
  <si>
    <t xml:space="preserve">False-positive rate, hours per alert, regulator findings</t>
  </si>
  <si>
    <t xml:space="preserve">Missed true alerts: validate with the regulator in mind</t>
  </si>
  <si>
    <t xml:space="preserve">No labeled alert outcomes</t>
  </si>
  <si>
    <t xml:space="preserve">U19</t>
  </si>
  <si>
    <t xml:space="preserve">Insurance</t>
  </si>
  <si>
    <t xml:space="preserve">Claims</t>
  </si>
  <si>
    <t xml:space="preserve">Claim form reading and damage photo assessment</t>
  </si>
  <si>
    <t xml:space="preserve">Adjusters read forms and review photos manually; simple claims wait in the same queue</t>
  </si>
  <si>
    <t xml:space="preserve">Claim forms, damage photos, past claim payouts</t>
  </si>
  <si>
    <t xml:space="preserve">Document AI + VLM</t>
  </si>
  <si>
    <t xml:space="preserve">Tractable, Shift Technology, cloud vision and document services</t>
  </si>
  <si>
    <t xml:space="preserve">Claim cycle time, cost per claim, leakage</t>
  </si>
  <si>
    <t xml:space="preserve">Wrong payouts: straight-through only for small simple claims, adjuster reviews others</t>
  </si>
  <si>
    <t xml:space="preserve">Few claims, or photos not captured digitally</t>
  </si>
  <si>
    <t xml:space="preserve">U20</t>
  </si>
  <si>
    <t xml:space="preserve">Suspicious claim detection</t>
  </si>
  <si>
    <t xml:space="preserve">Fraud suspected but found by chance; investigators lack prioritization</t>
  </si>
  <si>
    <t xml:space="preserve">Claims history, investigation outcomes</t>
  </si>
  <si>
    <t xml:space="preserve">Shift Technology, SAS; custom ML</t>
  </si>
  <si>
    <t xml:space="preserve">Fraud detected per investigator hour, false-alert rate</t>
  </si>
  <si>
    <t xml:space="preserve">Wrongly accusing customers: use as flag for review, not decision</t>
  </si>
  <si>
    <t xml:space="preserve">No labeled fraud history</t>
  </si>
  <si>
    <t xml:space="preserve">U21</t>
  </si>
  <si>
    <t xml:space="preserve">Underwriting</t>
  </si>
  <si>
    <t xml:space="preserve">Submission intake from broker emails and PDFs</t>
  </si>
  <si>
    <t xml:space="preserve">Underwriters key broker submissions into systems by hand</t>
  </si>
  <si>
    <t xml:space="preserve">Emails, attachments, quote history</t>
  </si>
  <si>
    <t xml:space="preserve">Custom API workflow; vendors such as Hyperexponential or Cytora (check current)</t>
  </si>
  <si>
    <t xml:space="preserve">Time to quote, submissions handled per underwriter</t>
  </si>
  <si>
    <t xml:space="preserve">Misextracted risk data: confidence thresholds, human confirmation</t>
  </si>
  <si>
    <t xml:space="preserve">Small portfolio with simple standard forms</t>
  </si>
  <si>
    <t xml:space="preserve">U22</t>
  </si>
  <si>
    <t xml:space="preserve">E-commerce</t>
  </si>
  <si>
    <t xml:space="preserve">Catalog</t>
  </si>
  <si>
    <t xml:space="preserve">Product descriptions and attributes from photos and supplier data</t>
  </si>
  <si>
    <t xml:space="preserve">Thousands of listings with thin or inconsistent content; supplier data is messy</t>
  </si>
  <si>
    <t xml:space="preserve">Product photos, supplier sheets</t>
  </si>
  <si>
    <t xml:space="preserve">VLM</t>
  </si>
  <si>
    <t xml:space="preserve">Shopify and marketplace tools; LLM and VLM APIs</t>
  </si>
  <si>
    <t xml:space="preserve">Listing time, content completeness, conversion on updated listings</t>
  </si>
  <si>
    <t xml:space="preserve">Wrong claims about products: human spot-check, restrict to verified attributes</t>
  </si>
  <si>
    <t xml:space="preserve">Small catalog (copy by hand), or regulated product claims</t>
  </si>
  <si>
    <t xml:space="preserve">U23</t>
  </si>
  <si>
    <t xml:space="preserve">Product recommendations and personalization</t>
  </si>
  <si>
    <t xml:space="preserve">Meaningful traffic and purchase history; one-size homepage</t>
  </si>
  <si>
    <t xml:space="preserve">Browsing and purchase behavior</t>
  </si>
  <si>
    <t xml:space="preserve">Recommender</t>
  </si>
  <si>
    <t xml:space="preserve">Shopify apps, Klaviyo, Algolia, Amazon Personalize</t>
  </si>
  <si>
    <t xml:space="preserve">Conversion rate, average order value, revenue per visitor</t>
  </si>
  <si>
    <t xml:space="preserve">Narrow bubbles, privacy consent: respect consent settings</t>
  </si>
  <si>
    <t xml:space="preserve">Low traffic: too little behavior data</t>
  </si>
  <si>
    <t xml:space="preserve">U24</t>
  </si>
  <si>
    <t xml:space="preserve">'Where is my order' and returns automation</t>
  </si>
  <si>
    <t xml:space="preserve">Large share of tickets are order status and return requests</t>
  </si>
  <si>
    <t xml:space="preserve">Order system, carrier tracking, return policy</t>
  </si>
  <si>
    <t xml:space="preserve">Plain automation</t>
  </si>
  <si>
    <t xml:space="preserve">Helpdesk plus shop integrations; LLM only for wording</t>
  </si>
  <si>
    <t xml:space="preserve">Share of tickets automated, cost per ticket</t>
  </si>
  <si>
    <t xml:space="preserve">Wrong status: pull from live order data, not from model memory</t>
  </si>
  <si>
    <t xml:space="preserve">Few tickets</t>
  </si>
  <si>
    <t xml:space="preserve">U25</t>
  </si>
  <si>
    <t xml:space="preserve">Dynamic pricing</t>
  </si>
  <si>
    <t xml:space="preserve">Competitors reprice often; margin set by gut feeling</t>
  </si>
  <si>
    <t xml:space="preserve">Sales, prices, competitor prices, costs</t>
  </si>
  <si>
    <t xml:space="preserve">Pricefx, Prisync, custom models</t>
  </si>
  <si>
    <t xml:space="preserve">Margin, sell-through, price-change response</t>
  </si>
  <si>
    <t xml:space="preserve">Reputation and fairness issues: guardrails on price bands</t>
  </si>
  <si>
    <t xml:space="preserve">Few products; hand pricing works</t>
  </si>
  <si>
    <t xml:space="preserve">U26</t>
  </si>
  <si>
    <t xml:space="preserve">Retail (physical)</t>
  </si>
  <si>
    <t xml:space="preserve">Store-level stock forecasting and replenishment</t>
  </si>
  <si>
    <t xml:space="preserve">Frequent empty shelves in some stores, overstock in others</t>
  </si>
  <si>
    <t xml:space="preserve">POS sales by store and SKU, promotions, weather</t>
  </si>
  <si>
    <t xml:space="preserve">Retail planning platforms (RELEX, Blue Yonder); custom ML</t>
  </si>
  <si>
    <t xml:space="preserve">Out-of-stock rate, waste, stock turnover</t>
  </si>
  <si>
    <t xml:space="preserve">Promotions and one-offs distort forecasts: add event data</t>
  </si>
  <si>
    <t xml:space="preserve">Few stores with simple assortments</t>
  </si>
  <si>
    <t xml:space="preserve">U27</t>
  </si>
  <si>
    <t xml:space="preserve">Physical operations</t>
  </si>
  <si>
    <t xml:space="preserve">Shelf monitoring with cameras or photos</t>
  </si>
  <si>
    <t xml:space="preserve">Large stores where shelf gaps and misplaced products are common</t>
  </si>
  <si>
    <t xml:space="preserve">Shelf images</t>
  </si>
  <si>
    <t xml:space="preserve">Computer vision</t>
  </si>
  <si>
    <t xml:space="preserve">9 Computer vision project</t>
  </si>
  <si>
    <t xml:space="preserve">Trax, Zebra, Focal Systems</t>
  </si>
  <si>
    <t xml:space="preserve">Shelf availability, audit time</t>
  </si>
  <si>
    <t xml:space="preserve">Privacy of customers on camera; high setup cost</t>
  </si>
  <si>
    <t xml:space="preserve">Small chain; manual audits are cheaper</t>
  </si>
  <si>
    <t xml:space="preserve">U28</t>
  </si>
  <si>
    <t xml:space="preserve">Logistics</t>
  </si>
  <si>
    <t xml:space="preserve">Planning</t>
  </si>
  <si>
    <t xml:space="preserve">Route and load optimization</t>
  </si>
  <si>
    <t xml:space="preserve">Dispatchers plan routes by hand or Excel; fuel and driver hours are major costs</t>
  </si>
  <si>
    <t xml:space="preserve">Orders, addresses, vehicles, time windows</t>
  </si>
  <si>
    <t xml:space="preserve">Optimization</t>
  </si>
  <si>
    <t xml:space="preserve">10 Optimization solver</t>
  </si>
  <si>
    <t xml:space="preserve">Routific, Descartes, OR-Tools, TMS modules</t>
  </si>
  <si>
    <t xml:space="preserve">Cost per delivery, km per stop, on-time rate</t>
  </si>
  <si>
    <t xml:space="preserve">Real-world constraints missing: involve dispatchers early</t>
  </si>
  <si>
    <t xml:space="preserve">Very few vehicles or fixed routes</t>
  </si>
  <si>
    <t xml:space="preserve">U29</t>
  </si>
  <si>
    <t xml:space="preserve">Shipping and customs document extraction</t>
  </si>
  <si>
    <t xml:space="preserve">Staff rekey bills of lading, invoices and customs forms</t>
  </si>
  <si>
    <t xml:space="preserve">Shipping documents in various formats</t>
  </si>
  <si>
    <t xml:space="preserve">Cargowise-related tools, Azure Document Intelligence</t>
  </si>
  <si>
    <t xml:space="preserve">Documents per hour, error rate, clearance delays</t>
  </si>
  <si>
    <t xml:space="preserve">Misread codes cause fines: validation against reference tables</t>
  </si>
  <si>
    <t xml:space="preserve">Fully electronic data exchange already</t>
  </si>
  <si>
    <t xml:space="preserve">U30</t>
  </si>
  <si>
    <t xml:space="preserve">Delivery time (ETA) and delay prediction</t>
  </si>
  <si>
    <t xml:space="preserve">Customers ask for delivery windows; delays surprise dispatch</t>
  </si>
  <si>
    <t xml:space="preserve">GPS data, past trips, traffic and weather</t>
  </si>
  <si>
    <t xml:space="preserve">Project44, FourKites, custom ML</t>
  </si>
  <si>
    <t xml:space="preserve">ETA accuracy, customer contacts about delays</t>
  </si>
  <si>
    <t xml:space="preserve">Data quality from vehicles</t>
  </si>
  <si>
    <t xml:space="preserve">No tracking data</t>
  </si>
  <si>
    <t xml:space="preserve">U31</t>
  </si>
  <si>
    <t xml:space="preserve">Manufacturing</t>
  </si>
  <si>
    <t xml:space="preserve">Quality &amp; maintenance</t>
  </si>
  <si>
    <t xml:space="preserve">Predictive maintenance</t>
  </si>
  <si>
    <t xml:space="preserve">Unplanned downtime is costly; machines have sensors and failure logs</t>
  </si>
  <si>
    <t xml:space="preserve">Sensor time series, maintenance and failure records</t>
  </si>
  <si>
    <t xml:space="preserve">Siemens, Augury, AWS Lookout; custom ML</t>
  </si>
  <si>
    <t xml:space="preserve">Unplanned downtime hours, maintenance cost</t>
  </si>
  <si>
    <t xml:space="preserve">False alarms: start with a few critical machines</t>
  </si>
  <si>
    <t xml:space="preserve">No sensors or failure history: use scheduled maintenance first</t>
  </si>
  <si>
    <t xml:space="preserve">U32</t>
  </si>
  <si>
    <t xml:space="preserve">Visual quality inspection</t>
  </si>
  <si>
    <t xml:space="preserve">Manual inspection misses defects; product and lighting are consistent</t>
  </si>
  <si>
    <t xml:space="preserve">Labeled defect images</t>
  </si>
  <si>
    <t xml:space="preserve">Cognex, Landing AI, custom models</t>
  </si>
  <si>
    <t xml:space="preserve">Defect escape rate, scrap, inspection cost</t>
  </si>
  <si>
    <t xml:space="preserve">Drift when product changes: retrain plan</t>
  </si>
  <si>
    <t xml:space="preserve">Constantly changing products, or too few defect examples</t>
  </si>
  <si>
    <t xml:space="preserve">U33</t>
  </si>
  <si>
    <t xml:space="preserve">Production scheduling</t>
  </si>
  <si>
    <t xml:space="preserve">Planners juggle orders, changeovers and capacity in spreadsheets</t>
  </si>
  <si>
    <t xml:space="preserve">Orders, routings, machine capacity</t>
  </si>
  <si>
    <t xml:space="preserve">Planning software (APS), OR-Tools</t>
  </si>
  <si>
    <t xml:space="preserve">On-time delivery, changeover time, utilization</t>
  </si>
  <si>
    <t xml:space="preserve">Shop-floor reality differs from model</t>
  </si>
  <si>
    <t xml:space="preserve">Simple single-line production</t>
  </si>
  <si>
    <t xml:space="preserve">U34</t>
  </si>
  <si>
    <t xml:space="preserve">Technician assistant over manuals and repair logs</t>
  </si>
  <si>
    <t xml:space="preserve">Technicians hunt through PDF manuals; experienced staff retiring</t>
  </si>
  <si>
    <t xml:space="preserve">Manuals, repair history</t>
  </si>
  <si>
    <t xml:space="preserve">Custom RAG; vendor field-service assistants</t>
  </si>
  <si>
    <t xml:space="preserve">Repair time, first-time fix rate</t>
  </si>
  <si>
    <t xml:space="preserve">Unsafe instructions: show source pages, safety review</t>
  </si>
  <si>
    <t xml:space="preserve">Little documentation exists</t>
  </si>
  <si>
    <t xml:space="preserve">U35</t>
  </si>
  <si>
    <t xml:space="preserve">Healthcare</t>
  </si>
  <si>
    <t xml:space="preserve">Clinical / admin</t>
  </si>
  <si>
    <t xml:space="preserve">Clinical documentation from consultations</t>
  </si>
  <si>
    <t xml:space="preserve">Clinicians spend large part of day on notes</t>
  </si>
  <si>
    <t xml:space="preserve">Consultation audio, templates</t>
  </si>
  <si>
    <t xml:space="preserve">Nuance DAX, Abridge, EHR vendor tools</t>
  </si>
  <si>
    <t xml:space="preserve">Documentation time, clinician satisfaction</t>
  </si>
  <si>
    <t xml:space="preserve">Health data privacy and note accuracy: clinician signs off; check HIPAA/GDPR terms</t>
  </si>
  <si>
    <t xml:space="preserve">No consent or hosting agreement; strict data residency without option</t>
  </si>
  <si>
    <t xml:space="preserve">U36</t>
  </si>
  <si>
    <t xml:space="preserve">Appointment no-show prediction and scheduling</t>
  </si>
  <si>
    <t xml:space="preserve">Empty slots from no-shows; reminders are generic</t>
  </si>
  <si>
    <t xml:space="preserve">Appointment history, reminder outcomes</t>
  </si>
  <si>
    <t xml:space="preserve">Scheduling platform features; custom ML</t>
  </si>
  <si>
    <t xml:space="preserve">No-show rate, slot utilization</t>
  </si>
  <si>
    <t xml:space="preserve">Unfairness to patient groups: use for reminders, not denial of care</t>
  </si>
  <si>
    <t xml:space="preserve">Low no-show rate</t>
  </si>
  <si>
    <t xml:space="preserve">U37</t>
  </si>
  <si>
    <t xml:space="preserve">Law / Accounting</t>
  </si>
  <si>
    <t xml:space="preserve">Core work</t>
  </si>
  <si>
    <t xml:space="preserve">Document review and due diligence</t>
  </si>
  <si>
    <t xml:space="preserve">Associates read large volumes of similar documents</t>
  </si>
  <si>
    <t xml:space="preserve">Contracts, filings</t>
  </si>
  <si>
    <t xml:space="preserve">Harvey, Luminance, Microsoft Copilot</t>
  </si>
  <si>
    <t xml:space="preserve">Hours per review, missed-issue rate</t>
  </si>
  <si>
    <t xml:space="preserve">Hallucinated or missed items: lawyer verifies; client confidentiality</t>
  </si>
  <si>
    <t xml:space="preserve">One-off matters with few documents</t>
  </si>
  <si>
    <t xml:space="preserve">U38</t>
  </si>
  <si>
    <t xml:space="preserve">Bookkeeping categorization and client document collection</t>
  </si>
  <si>
    <t xml:space="preserve">Many small clients; staff sort receipts and bank lines</t>
  </si>
  <si>
    <t xml:space="preserve">Bank feeds, receipts</t>
  </si>
  <si>
    <t xml:space="preserve">Xero, QuickBooks, Dext, Hubdoc</t>
  </si>
  <si>
    <t xml:space="preserve">Hours per client per month, correction rate</t>
  </si>
  <si>
    <t xml:space="preserve">Miscategorization: review rules and exceptions</t>
  </si>
  <si>
    <t xml:space="preserve">Few clients</t>
  </si>
  <si>
    <t xml:space="preserve">U39</t>
  </si>
  <si>
    <t xml:space="preserve">Telecom</t>
  </si>
  <si>
    <t xml:space="preserve">Customer churn prediction</t>
  </si>
  <si>
    <t xml:space="preserve">High churn; billing and usage data exist; retention offers are untargeted</t>
  </si>
  <si>
    <t xml:space="preserve">Usage, billing, complaints, contract data</t>
  </si>
  <si>
    <t xml:space="preserve">CRM analytics modules; custom ML</t>
  </si>
  <si>
    <t xml:space="preserve">Churn rate, retention offer success</t>
  </si>
  <si>
    <t xml:space="preserve">Predicting without acting: link to a concrete retention process</t>
  </si>
  <si>
    <t xml:space="preserve">No retention actions available</t>
  </si>
  <si>
    <t xml:space="preserve">U40</t>
  </si>
  <si>
    <t xml:space="preserve">Network anomaly and outage prediction</t>
  </si>
  <si>
    <t xml:space="preserve">Faults found by customer complaints first</t>
  </si>
  <si>
    <t xml:space="preserve">Network telemetry</t>
  </si>
  <si>
    <t xml:space="preserve">Vendor network analytics; custom ML</t>
  </si>
  <si>
    <t xml:space="preserve">Time to detect, outage minutes</t>
  </si>
  <si>
    <t xml:space="preserve">False alarms</t>
  </si>
  <si>
    <t xml:space="preserve">Small network with manual monitoring</t>
  </si>
  <si>
    <t xml:space="preserve">U41</t>
  </si>
  <si>
    <t xml:space="preserve">Energy / Utilities</t>
  </si>
  <si>
    <t xml:space="preserve">Load and demand forecasting</t>
  </si>
  <si>
    <t xml:space="preserve">Imbalance costs or capacity planning rely on rough estimates</t>
  </si>
  <si>
    <t xml:space="preserve">Meter data, weather, calendar</t>
  </si>
  <si>
    <t xml:space="preserve">Forecasting tools; custom time-series ML</t>
  </si>
  <si>
    <t xml:space="preserve">Forecast error, balancing cost</t>
  </si>
  <si>
    <t xml:space="preserve">Rare events and extreme weather</t>
  </si>
  <si>
    <t xml:space="preserve">Short data history</t>
  </si>
  <si>
    <t xml:space="preserve">U42</t>
  </si>
  <si>
    <t xml:space="preserve">Asset inspection with drone images</t>
  </si>
  <si>
    <t xml:space="preserve">Lines, panels or pipes inspected manually in hard locations</t>
  </si>
  <si>
    <t xml:space="preserve">Drone or inspection images</t>
  </si>
  <si>
    <t xml:space="preserve">Vendor inspection services; custom CV</t>
  </si>
  <si>
    <t xml:space="preserve">Inspection cost, defects found</t>
  </si>
  <si>
    <t xml:space="preserve">Safety and regulation of drones</t>
  </si>
  <si>
    <t xml:space="preserve">Few assets</t>
  </si>
  <si>
    <t xml:space="preserve">U43</t>
  </si>
  <si>
    <t xml:space="preserve">Agriculture</t>
  </si>
  <si>
    <t xml:space="preserve">Crop monitoring and yield prediction from satellite or drone data</t>
  </si>
  <si>
    <t xml:space="preserve">Large fields; decisions on irrigation and fertilizer made by experience</t>
  </si>
  <si>
    <t xml:space="preserve">Satellite images, weather, field records</t>
  </si>
  <si>
    <t xml:space="preserve">Farm-management platforms (Climate FieldView and similar)</t>
  </si>
  <si>
    <t xml:space="preserve">Yield, input cost per hectare</t>
  </si>
  <si>
    <t xml:space="preserve">Local conditions differ from the model</t>
  </si>
  <si>
    <t xml:space="preserve">Small farm without digital records; use advisory services</t>
  </si>
  <si>
    <t xml:space="preserve">U44</t>
  </si>
  <si>
    <t xml:space="preserve">Education</t>
  </si>
  <si>
    <t xml:space="preserve">Student and applicant Q&amp;A</t>
  </si>
  <si>
    <t xml:space="preserve">Admissions and student offices answer repeated questions</t>
  </si>
  <si>
    <t xml:space="preserve">Course catalog, policies, FAQs</t>
  </si>
  <si>
    <t xml:space="preserve">LMS and CRM assistants; custom RAG</t>
  </si>
  <si>
    <t xml:space="preserve">Response time, staff hours on routine questions</t>
  </si>
  <si>
    <t xml:space="preserve">Wrong policy answers; minors' data</t>
  </si>
  <si>
    <t xml:space="preserve">Small institution with few queries</t>
  </si>
  <si>
    <t xml:space="preserve">U45</t>
  </si>
  <si>
    <t xml:space="preserve">Feedback and marking support</t>
  </si>
  <si>
    <t xml:space="preserve">Teachers spend large time on feedback for similar work</t>
  </si>
  <si>
    <t xml:space="preserve">Rubrics, sample work</t>
  </si>
  <si>
    <t xml:space="preserve">General assistants; learning platform features</t>
  </si>
  <si>
    <t xml:space="preserve">Teacher hours on marking</t>
  </si>
  <si>
    <t xml:space="preserve">Fairness and academic rules: teacher decides grade</t>
  </si>
  <si>
    <t xml:space="preserve">Policy bans AI use</t>
  </si>
  <si>
    <t xml:space="preserve">U46</t>
  </si>
  <si>
    <t xml:space="preserve">Government</t>
  </si>
  <si>
    <t xml:space="preserve">Citizen information assistant</t>
  </si>
  <si>
    <t xml:space="preserve">Many repeated requests about rules, forms and deadlines</t>
  </si>
  <si>
    <t xml:space="preserve">Public guidance, forms</t>
  </si>
  <si>
    <t xml:space="preserve">Custom RAG on approved sources</t>
  </si>
  <si>
    <t xml:space="preserve">Calls and emails handled, response time</t>
  </si>
  <si>
    <t xml:space="preserve">Wrong legal information: source links, escalation; transparency obligations</t>
  </si>
  <si>
    <t xml:space="preserve">Outdated or inconsistent guidance</t>
  </si>
  <si>
    <t xml:space="preserve">U47</t>
  </si>
  <si>
    <t xml:space="preserve">Case and application document processing</t>
  </si>
  <si>
    <t xml:space="preserve">Caseworkers read and key in applications</t>
  </si>
  <si>
    <t xml:space="preserve">Applications, supporting documents</t>
  </si>
  <si>
    <t xml:space="preserve">Document AI services; custom workflow</t>
  </si>
  <si>
    <t xml:space="preserve">Case processing time, backlog</t>
  </si>
  <si>
    <t xml:space="preserve">Decisions about people are high-risk: humans decide, keep audit trail</t>
  </si>
  <si>
    <t xml:space="preserve">Fully digital structured intake exists</t>
  </si>
  <si>
    <t xml:space="preserve">U48</t>
  </si>
  <si>
    <t xml:space="preserve">Hospitality</t>
  </si>
  <si>
    <t xml:space="preserve">Revenue management and pricing</t>
  </si>
  <si>
    <t xml:space="preserve">Room or table pricing set manually; demand varies by season and events</t>
  </si>
  <si>
    <t xml:space="preserve">Booking history, events, competitor rates</t>
  </si>
  <si>
    <t xml:space="preserve">Hotel revenue-management systems (IDeaS, Duetto)</t>
  </si>
  <si>
    <t xml:space="preserve">RevPAR, occupancy</t>
  </si>
  <si>
    <t xml:space="preserve">Price perception</t>
  </si>
  <si>
    <t xml:space="preserve">Very small property</t>
  </si>
  <si>
    <t xml:space="preserve">U49</t>
  </si>
  <si>
    <t xml:space="preserve">Guest messaging and booking questions</t>
  </si>
  <si>
    <t xml:space="preserve">Staff answer the same booking and amenity questions</t>
  </si>
  <si>
    <t xml:space="preserve">Property information, FAQ</t>
  </si>
  <si>
    <t xml:space="preserve">Hotel messaging platforms</t>
  </si>
  <si>
    <t xml:space="preserve">Response time, staff hours on messages</t>
  </si>
  <si>
    <t xml:space="preserve">Wrong information on policies</t>
  </si>
  <si>
    <t xml:space="preserve">Low message volume</t>
  </si>
  <si>
    <t xml:space="preserve">U50</t>
  </si>
  <si>
    <t xml:space="preserve">Construction / Real estate</t>
  </si>
  <si>
    <t xml:space="preserve">Cost estimating from plans and tender documents</t>
  </si>
  <si>
    <t xml:space="preserve">Estimators measure and read drawings manually; tenders are document-heavy</t>
  </si>
  <si>
    <t xml:space="preserve">Drawings, specs, past estimates</t>
  </si>
  <si>
    <t xml:space="preserve">Togal.AI, Kreo, custom workflow (check current)</t>
  </si>
  <si>
    <t xml:space="preserve">Estimating hours, estimate accuracy</t>
  </si>
  <si>
    <t xml:space="preserve">Misread drawings: estimator reviews</t>
  </si>
  <si>
    <t xml:space="preserve">Few tenders per year</t>
  </si>
  <si>
    <t xml:space="preserve">U51</t>
  </si>
  <si>
    <t xml:space="preserve">Property valuation</t>
  </si>
  <si>
    <t xml:space="preserve">Pricing of properties relies on comparables by hand</t>
  </si>
  <si>
    <t xml:space="preserve">Sales history, property features</t>
  </si>
  <si>
    <t xml:space="preserve">Valuation vendors; custom ML</t>
  </si>
  <si>
    <t xml:space="preserve">Valuation error vs sale price</t>
  </si>
  <si>
    <t xml:space="preserve">Local market changes</t>
  </si>
  <si>
    <t xml:space="preserve">Thin local market data</t>
  </si>
  <si>
    <t xml:space="preserve">U52</t>
  </si>
  <si>
    <t xml:space="preserve">Software / SaaS</t>
  </si>
  <si>
    <t xml:space="preserve">Support deflection and in-product help</t>
  </si>
  <si>
    <t xml:space="preserve">Support grows with users; documentation is good</t>
  </si>
  <si>
    <t xml:space="preserve">Docs, tickets, product knowledge</t>
  </si>
  <si>
    <t xml:space="preserve">Intercom Fin, Zendesk AI</t>
  </si>
  <si>
    <t xml:space="preserve">Deflection rate, time to resolution</t>
  </si>
  <si>
    <t xml:space="preserve">Wrong how-to answers: citations and escalation</t>
  </si>
  <si>
    <t xml:space="preserve">Small user base</t>
  </si>
  <si>
    <t xml:space="preserve">U53</t>
  </si>
  <si>
    <t xml:space="preserve">Customer churn and upsell prediction</t>
  </si>
  <si>
    <t xml:space="preserve">Churn surprises the team; product usage data is rich</t>
  </si>
  <si>
    <t xml:space="preserve">Product usage, billing, support data</t>
  </si>
  <si>
    <t xml:space="preserve">Gainsight, ChurnZero; custom ML</t>
  </si>
  <si>
    <t xml:space="preserve">Net revenue retention, churn</t>
  </si>
  <si>
    <t xml:space="preserve">Prediction without action</t>
  </si>
  <si>
    <t xml:space="preserve">Few customers (account managers know them)</t>
  </si>
  <si>
    <t xml:space="preserve">U54</t>
  </si>
  <si>
    <t xml:space="preserve">Personal service / craft</t>
  </si>
  <si>
    <t xml:space="preserve">Small local business</t>
  </si>
  <si>
    <t xml:space="preserve">Booking, reminders and review replies</t>
  </si>
  <si>
    <t xml:space="preserve">One to a few people; time lost on messages and scheduling</t>
  </si>
  <si>
    <t xml:space="preserve">Calendar, customer messages</t>
  </si>
  <si>
    <t xml:space="preserve">Booking tools with built-in AI; general assistants</t>
  </si>
  <si>
    <t xml:space="preserve">Admin hours per week, no-shows</t>
  </si>
  <si>
    <t xml:space="preserve">Hands-on work dominates; no data or repeated digital process</t>
  </si>
  <si>
    <t xml:space="preserve">Form</t>
  </si>
  <si>
    <t xml:space="preserve">What the company gets</t>
  </si>
  <si>
    <t xml:space="preserve">Typical use</t>
  </si>
  <si>
    <t xml:space="preserve">Cost drivers</t>
  </si>
  <si>
    <t xml:space="preserve">Main risks</t>
  </si>
  <si>
    <t xml:space="preserve">Staff get licenses for a chat assistant plus a usage policy</t>
  </si>
  <si>
    <t xml:space="preserve">General drafting, summarizing, coding, research by individuals</t>
  </si>
  <si>
    <t xml:space="preserve">Per-user subscription, training, policy</t>
  </si>
  <si>
    <t xml:space="preserve">Employees paste confidential data; unmanaged accounts</t>
  </si>
  <si>
    <t xml:space="preserve">Start here for text work; fastest and cheapest</t>
  </si>
  <si>
    <t xml:space="preserve">Switch on or buy an AI add-on in software already owned</t>
  </si>
  <si>
    <t xml:space="preserve">CRM, helpdesk, ERP, accounting, office suites</t>
  </si>
  <si>
    <t xml:space="preserve">Add-on license, configuration, training</t>
  </si>
  <si>
    <t xml:space="preserve">Vendor data sharing; feature never actually adopted</t>
  </si>
  <si>
    <t xml:space="preserve">Check first: it may already be paid for</t>
  </si>
  <si>
    <t xml:space="preserve">Small custom integration sending specific text to a model and returning results to a system</t>
  </si>
  <si>
    <t xml:space="preserve">One well-defined workflow, such as extraction from emails or documents</t>
  </si>
  <si>
    <t xml:space="preserve">Developer time, usage billing, testing</t>
  </si>
  <si>
    <t xml:space="preserve">Errors in output; vendor terms; integration upkeep</t>
  </si>
  <si>
    <t xml:space="preserve">Use when no tool covers the need</t>
  </si>
  <si>
    <t xml:space="preserve">Assistant answering from the company's own documents, with sources</t>
  </si>
  <si>
    <t xml:space="preserve">Q&amp;A over policies, manuals, contracts, knowledge bases</t>
  </si>
  <si>
    <t xml:space="preserve">Document cleanup, build, access control, evaluation</t>
  </si>
  <si>
    <t xml:space="preserve">Outdated documents; users seeing documents they should not</t>
  </si>
  <si>
    <t xml:space="preserve">Quality of the documents decides quality of the answers</t>
  </si>
  <si>
    <t xml:space="preserve">5 Private / self-hosted model</t>
  </si>
  <si>
    <t xml:space="preserve">Model run on the company's own servers or private cloud</t>
  </si>
  <si>
    <t xml:space="preserve">Strict data rules (banks, hospitals, defense)</t>
  </si>
  <si>
    <t xml:space="preserve">Hardware or cloud, specialist staff, maintenance</t>
  </si>
  <si>
    <t xml:space="preserve">Cost and complexity; model falls behind</t>
  </si>
  <si>
    <t xml:space="preserve">Only with a concrete data-control reason</t>
  </si>
  <si>
    <t xml:space="preserve">6 Fine-tuning</t>
  </si>
  <si>
    <t xml:space="preserve">Retraining a model on company data for a specific task or style</t>
  </si>
  <si>
    <t xml:space="preserve">Narrow high-volume tasks where prompts and RAG fall short</t>
  </si>
  <si>
    <t xml:space="preserve">Labeled data, ML staff, re-training</t>
  </si>
  <si>
    <t xml:space="preserve">Overfitting; maintenance</t>
  </si>
  <si>
    <t xml:space="preserve">Rarely needed</t>
  </si>
  <si>
    <t xml:space="preserve">7 Agent</t>
  </si>
  <si>
    <t xml:space="preserve">An LLM that takes multi-step actions in company systems</t>
  </si>
  <si>
    <t xml:space="preserve">Workflows already working with human approval</t>
  </si>
  <si>
    <t xml:space="preserve">Engineering, testing, monitoring, guardrails</t>
  </si>
  <si>
    <t xml:space="preserve">Wrong actions at scale; security (prompt injection)</t>
  </si>
  <si>
    <t xml:space="preserve">Last: after forms 1-4 work and approval steps exist</t>
  </si>
  <si>
    <t xml:space="preserve">Predictive model on tables (forecast, churn, fraud, scoring)</t>
  </si>
  <si>
    <t xml:space="preserve">Structured historical data with a clear target</t>
  </si>
  <si>
    <t xml:space="preserve">Data prep, data scientist, deployment, retraining</t>
  </si>
  <si>
    <t xml:space="preserve">Poor data; model not used in decisions</t>
  </si>
  <si>
    <t xml:space="preserve">Compare against a simple baseline first</t>
  </si>
  <si>
    <t xml:space="preserve">Model that inspects images or video</t>
  </si>
  <si>
    <t xml:space="preserve">Consistent images with enough labeled examples</t>
  </si>
  <si>
    <t xml:space="preserve">Cameras, labeling, integration, retraining</t>
  </si>
  <si>
    <t xml:space="preserve">Drift when conditions change</t>
  </si>
  <si>
    <t xml:space="preserve">High setup cost; confirm volume justifies it</t>
  </si>
  <si>
    <t xml:space="preserve">Mathematical solver for routes, schedules, allocation</t>
  </si>
  <si>
    <t xml:space="preserve">Clear constraints and costs</t>
  </si>
  <si>
    <t xml:space="preserve">Modeling, data feeds, user acceptance</t>
  </si>
  <si>
    <t xml:space="preserve">Reality missing from model</t>
  </si>
  <si>
    <t xml:space="preserve">Often not 'AI' at all; sometimes the best answer</t>
  </si>
  <si>
    <t xml:space="preserve">11 Plain automation / process fix</t>
  </si>
  <si>
    <t xml:space="preserve">Rules, workflows, integrations or a process change</t>
  </si>
  <si>
    <t xml:space="preserve">Repeated, fixed-step work</t>
  </si>
  <si>
    <t xml:space="preserve">Low: workflow tools and process redesign</t>
  </si>
  <si>
    <t xml:space="preserve">Automating a bad process</t>
  </si>
  <si>
    <t xml:space="preserve">Always check this first</t>
  </si>
  <si>
    <t xml:space="preserve">Situation</t>
  </si>
  <si>
    <t xml:space="preserve">Why AI usually does not help</t>
  </si>
  <si>
    <t xml:space="preserve">What to recommend instead</t>
  </si>
  <si>
    <t xml:space="preserve">Small team (a few people), hands-on work (barber, plumber, small cafe)</t>
  </si>
  <si>
    <t xml:space="preserve">Work is physical and personal; little data</t>
  </si>
  <si>
    <t xml:space="preserve">Built-in AI features of booking, accounting or messaging tools; a general assistant for admin</t>
  </si>
  <si>
    <t xml:space="preserve">Bottleneck is capacity, location or skilled hands</t>
  </si>
  <si>
    <t xml:space="preserve">AI processes information; it can't add trucks, rooms or technicians</t>
  </si>
  <si>
    <t xml:space="preserve">Capacity planning, hiring, process redesign</t>
  </si>
  <si>
    <t xml:space="preserve">Every job is unique and little is repeated</t>
  </si>
  <si>
    <t xml:space="preserve">Nothing to learn from; no repetition to automate</t>
  </si>
  <si>
    <t xml:space="preserve">Better templates, knowledge sharing</t>
  </si>
  <si>
    <t xml:space="preserve">Process is broken, not slow</t>
  </si>
  <si>
    <t xml:space="preserve">Automating a bad process makes errors faster</t>
  </si>
  <si>
    <t xml:space="preserve">Fix the process, then reassess</t>
  </si>
  <si>
    <t xml:space="preserve">Fixed-step, rule-based work</t>
  </si>
  <si>
    <t xml:space="preserve">Rules or workflow tools are cheaper, exact and explainable</t>
  </si>
  <si>
    <t xml:space="preserve">Plain automation (form 11)</t>
  </si>
  <si>
    <t xml:space="preserve">Little or no data, no way to collect it</t>
  </si>
  <si>
    <t xml:space="preserve">ML needs examples; LLMs need text or documents to work on</t>
  </si>
  <si>
    <t xml:space="preserve">Start collecting data in a structured way</t>
  </si>
  <si>
    <t xml:space="preserve">Documents or knowledge are outdated or contradictory</t>
  </si>
  <si>
    <t xml:space="preserve">Assistants repeat bad content faster</t>
  </si>
  <si>
    <t xml:space="preserve">Clean and own the content first</t>
  </si>
  <si>
    <t xml:space="preserve">Mistakes are unaffordable and no human check is possible</t>
  </si>
  <si>
    <t xml:space="preserve">AI is probabilistic</t>
  </si>
  <si>
    <t xml:space="preserve">Keep deterministic software and human review</t>
  </si>
  <si>
    <t xml:space="preserve">No owner, no champion, vague goal ('we just want AI')</t>
  </si>
  <si>
    <t xml:space="preserve">Projects stall without an accountable owner</t>
  </si>
  <si>
    <t xml:space="preserve">Run a short workshop; revisit when an owner exists</t>
  </si>
  <si>
    <t xml:space="preserve">Simple statistics already solve it</t>
  </si>
  <si>
    <t xml:space="preserve">A moving average or rule may match an ML model</t>
  </si>
  <si>
    <t xml:space="preserve">Test the simple baseline before any ML work</t>
  </si>
  <si>
    <t xml:space="preserve">Summary (updates from Use Case Master)</t>
  </si>
  <si>
    <t xml:space="preserve">By business type</t>
  </si>
  <si>
    <t xml:space="preserve">Use cases</t>
  </si>
  <si>
    <t xml:space="preserve">High / Very high need</t>
  </si>
  <si>
    <t xml:space="preserve">By industry</t>
  </si>
  <si>
    <t xml:space="preserve">By form</t>
  </si>
  <si>
    <t xml:space="preserve">By technology</t>
  </si>
  <si>
    <t xml:space="preserve">Yes/No/Unknown</t>
  </si>
  <si>
    <t xml:space="preserve">Unknown</t>
  </si>
  <si>
    <t xml:space="preserve">Warehouse</t>
  </si>
  <si>
    <t xml:space="preserve">Assumptions</t>
  </si>
  <si>
    <t xml:space="preserve">Tool covers the need at or above</t>
  </si>
  <si>
    <t xml:space="preserve">Rule of thumb (about 70-80%) - adjust as you see fit. Edit the lists above to change dropdowns.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</si>
</sst>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F6000"/>
        <bgColor rgb="FF993300"/>
      </patternFill>
    </fill>
    <fill>
      <patternFill patternType="solid">
        <fgColor rgb="FF385723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385723"/>
          <bgColor rgb="FF000000"/>
        </patternFill>
      </fill>
    </dxf>
    <dxf>
      <fill>
        <patternFill>
          <bgColor rgb="FFA9D08E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A9D08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</row>
    <row r="4" customFormat="false" ht="30" hidden="false" customHeight="true" outlineLevel="0" collapsed="false">
      <c r="A4" s="2" t="s">
        <v>3</v>
      </c>
    </row>
    <row r="5" customFormat="false" ht="30" hidden="false" customHeight="true" outlineLevel="0" collapsed="false">
      <c r="A5" s="2" t="s">
        <v>4</v>
      </c>
    </row>
    <row r="6" customFormat="false" ht="30" hidden="false" customHeight="true" outlineLevel="0" collapsed="false">
      <c r="A6" s="2" t="s">
        <v>5</v>
      </c>
    </row>
    <row r="7" customFormat="false" ht="30" hidden="false" customHeight="true" outlineLevel="0" collapsed="false">
      <c r="A7" s="2" t="s">
        <v>6</v>
      </c>
    </row>
    <row r="8" customFormat="false" ht="30" hidden="false" customHeight="true" outlineLevel="0" collapsed="false">
      <c r="A8" s="2"/>
    </row>
    <row r="9" customFormat="false" ht="30" hidden="false" customHeight="tru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32"/>
    <col collapsed="false" customWidth="true" hidden="false" outlineLevel="0" max="12" min="12" style="0" width="40"/>
    <col collapsed="false" customWidth="true" hidden="false" outlineLevel="0" max="13" min="13" style="0" width="38"/>
    <col collapsed="false" customWidth="true" hidden="false" outlineLevel="0" max="15" min="14" style="0" width="11"/>
    <col collapsed="false" customWidth="true" hidden="false" outlineLevel="0" max="16" min="16" style="0" width="24"/>
    <col collapsed="false" customWidth="true" hidden="false" outlineLevel="0" max="17" min="17" style="0" width="11"/>
    <col collapsed="false" customWidth="true" hidden="false" outlineLevel="0" max="19" min="18" style="0" width="10"/>
    <col collapsed="false" customWidth="true" hidden="false" outlineLevel="0" max="20" min="20" style="0" width="12"/>
    <col collapsed="false" customWidth="true" hidden="false" outlineLevel="0" max="21" min="21" style="0" width="9"/>
    <col collapsed="false" customWidth="true" hidden="false" outlineLevel="0" max="22" min="22" style="0" width="36"/>
    <col collapsed="false" customWidth="true" hidden="false" outlineLevel="0" max="23" min="23" style="0" width="26"/>
  </cols>
  <sheetData>
    <row r="1" customFormat="false" ht="39.75" hidden="false" customHeight="tru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5" t="s">
        <v>29</v>
      </c>
      <c r="W1" s="5" t="s">
        <v>30</v>
      </c>
    </row>
    <row r="2" customFormat="false" ht="37.5" hidden="false" customHeight="tru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7" t="s">
        <v>46</v>
      </c>
      <c r="Q2" s="7" t="s">
        <v>47</v>
      </c>
      <c r="R2" s="7" t="s">
        <v>48</v>
      </c>
      <c r="S2" s="7" t="s">
        <v>48</v>
      </c>
      <c r="T2" s="8" t="n">
        <v>0.75</v>
      </c>
      <c r="U2" s="9" t="n">
        <f aca="false">IF(T2="","",1-T2)</f>
        <v>0.25</v>
      </c>
      <c r="V2" s="6" t="str">
        <f aca="false">IF(P2="","",IF(Q2="No","No AI in current tool: consider add-on or API-based option",IF(T2="","Estimate how much the tool covers",IF(T2&gt;=Lookups!$B$26,IF(AND(R2="Yes",S2="Yes"),"Covered: keep and monitor","Switch on and train people on the existing feature"),"Partial: configure the tool, then fill the gap"))))</f>
        <v>Switch on and train people on the existing feature</v>
      </c>
      <c r="W2" s="6" t="s">
        <v>49</v>
      </c>
    </row>
    <row r="3" customFormat="false" ht="25.5" hidden="false" customHeight="true" outlineLevel="0" collapsed="false">
      <c r="A3" s="6" t="s">
        <v>50</v>
      </c>
      <c r="B3" s="6" t="s">
        <v>32</v>
      </c>
      <c r="C3" s="6" t="s">
        <v>33</v>
      </c>
      <c r="D3" s="6" t="s">
        <v>34</v>
      </c>
      <c r="E3" s="6" t="s">
        <v>51</v>
      </c>
      <c r="F3" s="6" t="s">
        <v>52</v>
      </c>
      <c r="G3" s="6" t="s">
        <v>53</v>
      </c>
      <c r="H3" s="6" t="s">
        <v>54</v>
      </c>
      <c r="I3" s="6" t="s">
        <v>39</v>
      </c>
      <c r="J3" s="6" t="s">
        <v>55</v>
      </c>
      <c r="K3" s="6" t="s">
        <v>56</v>
      </c>
      <c r="L3" s="6" t="s">
        <v>57</v>
      </c>
      <c r="M3" s="6" t="s">
        <v>58</v>
      </c>
      <c r="N3" s="6" t="s">
        <v>59</v>
      </c>
      <c r="O3" s="6" t="s">
        <v>45</v>
      </c>
      <c r="P3" s="10"/>
      <c r="Q3" s="10"/>
      <c r="R3" s="10"/>
      <c r="S3" s="10"/>
      <c r="T3" s="11"/>
      <c r="U3" s="9" t="str">
        <f aca="false">IF(T3="","",1-T3)</f>
        <v/>
      </c>
      <c r="V3" s="6" t="str">
        <f aca="false">IF(P3="","",IF(Q3="No","No AI in current tool: consider add-on or API-based option",IF(T3="","Estimate how much the tool covers",IF(T3&gt;=Lookups!$B$26,IF(AND(R3="Yes",S3="Yes"),"Covered: keep and monitor","Switch on and train people on the existing feature"),"Partial: configure the tool, then fill the gap"))))</f>
        <v/>
      </c>
      <c r="W3" s="6"/>
    </row>
    <row r="4" customFormat="false" ht="25.5" hidden="false" customHeight="true" outlineLevel="0" collapsed="false">
      <c r="A4" s="6" t="s">
        <v>60</v>
      </c>
      <c r="B4" s="6" t="s">
        <v>32</v>
      </c>
      <c r="C4" s="6" t="s">
        <v>33</v>
      </c>
      <c r="D4" s="6" t="s">
        <v>61</v>
      </c>
      <c r="E4" s="6" t="s">
        <v>62</v>
      </c>
      <c r="F4" s="6" t="s">
        <v>63</v>
      </c>
      <c r="G4" s="6" t="s">
        <v>64</v>
      </c>
      <c r="H4" s="6" t="s">
        <v>65</v>
      </c>
      <c r="I4" s="6" t="s">
        <v>39</v>
      </c>
      <c r="J4" s="6" t="s">
        <v>66</v>
      </c>
      <c r="K4" s="6" t="s">
        <v>67</v>
      </c>
      <c r="L4" s="6" t="s">
        <v>68</v>
      </c>
      <c r="M4" s="6" t="s">
        <v>69</v>
      </c>
      <c r="N4" s="6" t="s">
        <v>59</v>
      </c>
      <c r="O4" s="6" t="s">
        <v>70</v>
      </c>
      <c r="P4" s="10"/>
      <c r="Q4" s="10"/>
      <c r="R4" s="10"/>
      <c r="S4" s="10"/>
      <c r="T4" s="11"/>
      <c r="U4" s="9" t="str">
        <f aca="false">IF(T4="","",1-T4)</f>
        <v/>
      </c>
      <c r="V4" s="6" t="str">
        <f aca="false">IF(P4="","",IF(Q4="No","No AI in current tool: consider add-on or API-based option",IF(T4="","Estimate how much the tool covers",IF(T4&gt;=Lookups!$B$26,IF(AND(R4="Yes",S4="Yes"),"Covered: keep and monitor","Switch on and train people on the existing feature"),"Partial: configure the tool, then fill the gap"))))</f>
        <v/>
      </c>
      <c r="W4" s="6"/>
    </row>
    <row r="5" customFormat="false" ht="25.5" hidden="false" customHeight="true" outlineLevel="0" collapsed="false">
      <c r="A5" s="6" t="s">
        <v>71</v>
      </c>
      <c r="B5" s="6" t="s">
        <v>72</v>
      </c>
      <c r="C5" s="6" t="s">
        <v>33</v>
      </c>
      <c r="D5" s="6" t="s">
        <v>61</v>
      </c>
      <c r="E5" s="6" t="s">
        <v>73</v>
      </c>
      <c r="F5" s="6" t="s">
        <v>74</v>
      </c>
      <c r="G5" s="6" t="s">
        <v>75</v>
      </c>
      <c r="H5" s="6" t="s">
        <v>38</v>
      </c>
      <c r="I5" s="6" t="s">
        <v>76</v>
      </c>
      <c r="J5" s="6" t="s">
        <v>77</v>
      </c>
      <c r="K5" s="6" t="s">
        <v>78</v>
      </c>
      <c r="L5" s="6" t="s">
        <v>79</v>
      </c>
      <c r="M5" s="6" t="s">
        <v>80</v>
      </c>
      <c r="N5" s="6" t="s">
        <v>59</v>
      </c>
      <c r="O5" s="6" t="s">
        <v>70</v>
      </c>
      <c r="P5" s="10"/>
      <c r="Q5" s="10"/>
      <c r="R5" s="10"/>
      <c r="S5" s="10"/>
      <c r="T5" s="11"/>
      <c r="U5" s="9" t="str">
        <f aca="false">IF(T5="","",1-T5)</f>
        <v/>
      </c>
      <c r="V5" s="6" t="str">
        <f aca="false">IF(P5="","",IF(Q5="No","No AI in current tool: consider add-on or API-based option",IF(T5="","Estimate how much the tool covers",IF(T5&gt;=Lookups!$B$26,IF(AND(R5="Yes",S5="Yes"),"Covered: keep and monitor","Switch on and train people on the existing feature"),"Partial: configure the tool, then fill the gap"))))</f>
        <v/>
      </c>
      <c r="W5" s="6"/>
    </row>
    <row r="6" customFormat="false" ht="25.5" hidden="false" customHeight="true" outlineLevel="0" collapsed="false">
      <c r="A6" s="6" t="s">
        <v>81</v>
      </c>
      <c r="B6" s="6" t="s">
        <v>32</v>
      </c>
      <c r="C6" s="6" t="s">
        <v>33</v>
      </c>
      <c r="D6" s="6" t="s">
        <v>61</v>
      </c>
      <c r="E6" s="6" t="s">
        <v>82</v>
      </c>
      <c r="F6" s="6" t="s">
        <v>83</v>
      </c>
      <c r="G6" s="6" t="s">
        <v>84</v>
      </c>
      <c r="H6" s="6" t="s">
        <v>54</v>
      </c>
      <c r="I6" s="6" t="s">
        <v>85</v>
      </c>
      <c r="J6" s="6" t="s">
        <v>86</v>
      </c>
      <c r="K6" s="6" t="s">
        <v>87</v>
      </c>
      <c r="L6" s="6" t="s">
        <v>88</v>
      </c>
      <c r="M6" s="6" t="s">
        <v>89</v>
      </c>
      <c r="N6" s="6" t="s">
        <v>70</v>
      </c>
      <c r="O6" s="6" t="s">
        <v>45</v>
      </c>
      <c r="P6" s="10"/>
      <c r="Q6" s="10"/>
      <c r="R6" s="10"/>
      <c r="S6" s="10"/>
      <c r="T6" s="11"/>
      <c r="U6" s="9" t="str">
        <f aca="false">IF(T6="","",1-T6)</f>
        <v/>
      </c>
      <c r="V6" s="6" t="str">
        <f aca="false">IF(P6="","",IF(Q6="No","No AI in current tool: consider add-on or API-based option",IF(T6="","Estimate how much the tool covers",IF(T6&gt;=Lookups!$B$26,IF(AND(R6="Yes",S6="Yes"),"Covered: keep and monitor","Switch on and train people on the existing feature"),"Partial: configure the tool, then fill the gap"))))</f>
        <v/>
      </c>
      <c r="W6" s="6"/>
    </row>
    <row r="7" customFormat="false" ht="25.5" hidden="false" customHeight="true" outlineLevel="0" collapsed="false">
      <c r="A7" s="6" t="s">
        <v>90</v>
      </c>
      <c r="B7" s="6" t="s">
        <v>72</v>
      </c>
      <c r="C7" s="6" t="s">
        <v>33</v>
      </c>
      <c r="D7" s="6" t="s">
        <v>91</v>
      </c>
      <c r="E7" s="6" t="s">
        <v>92</v>
      </c>
      <c r="F7" s="6" t="s">
        <v>93</v>
      </c>
      <c r="G7" s="6" t="s">
        <v>94</v>
      </c>
      <c r="H7" s="6" t="s">
        <v>95</v>
      </c>
      <c r="I7" s="6" t="s">
        <v>39</v>
      </c>
      <c r="J7" s="6" t="s">
        <v>96</v>
      </c>
      <c r="K7" s="6" t="s">
        <v>97</v>
      </c>
      <c r="L7" s="6" t="s">
        <v>98</v>
      </c>
      <c r="M7" s="6" t="s">
        <v>99</v>
      </c>
      <c r="N7" s="6" t="s">
        <v>59</v>
      </c>
      <c r="O7" s="6" t="s">
        <v>70</v>
      </c>
      <c r="P7" s="10"/>
      <c r="Q7" s="10"/>
      <c r="R7" s="10"/>
      <c r="S7" s="10"/>
      <c r="T7" s="11"/>
      <c r="U7" s="9" t="str">
        <f aca="false">IF(T7="","",1-T7)</f>
        <v/>
      </c>
      <c r="V7" s="6" t="str">
        <f aca="false">IF(P7="","",IF(Q7="No","No AI in current tool: consider add-on or API-based option",IF(T7="","Estimate how much the tool covers",IF(T7&gt;=Lookups!$B$26,IF(AND(R7="Yes",S7="Yes"),"Covered: keep and monitor","Switch on and train people on the existing feature"),"Partial: configure the tool, then fill the gap"))))</f>
        <v/>
      </c>
      <c r="W7" s="6"/>
    </row>
    <row r="8" customFormat="false" ht="25.5" hidden="false" customHeight="true" outlineLevel="0" collapsed="false">
      <c r="A8" s="6" t="s">
        <v>100</v>
      </c>
      <c r="B8" s="6" t="s">
        <v>101</v>
      </c>
      <c r="C8" s="6" t="s">
        <v>33</v>
      </c>
      <c r="D8" s="6" t="s">
        <v>91</v>
      </c>
      <c r="E8" s="6" t="s">
        <v>102</v>
      </c>
      <c r="F8" s="6" t="s">
        <v>103</v>
      </c>
      <c r="G8" s="6" t="s">
        <v>104</v>
      </c>
      <c r="H8" s="6" t="s">
        <v>105</v>
      </c>
      <c r="I8" s="6" t="s">
        <v>106</v>
      </c>
      <c r="J8" s="6" t="s">
        <v>107</v>
      </c>
      <c r="K8" s="6" t="s">
        <v>108</v>
      </c>
      <c r="L8" s="6" t="s">
        <v>109</v>
      </c>
      <c r="M8" s="6" t="s">
        <v>110</v>
      </c>
      <c r="N8" s="6" t="s">
        <v>70</v>
      </c>
      <c r="O8" s="6" t="s">
        <v>70</v>
      </c>
      <c r="P8" s="10"/>
      <c r="Q8" s="10"/>
      <c r="R8" s="10"/>
      <c r="S8" s="10"/>
      <c r="T8" s="11"/>
      <c r="U8" s="9" t="str">
        <f aca="false">IF(T8="","",1-T8)</f>
        <v/>
      </c>
      <c r="V8" s="6" t="str">
        <f aca="false">IF(P8="","",IF(Q8="No","No AI in current tool: consider add-on or API-based option",IF(T8="","Estimate how much the tool covers",IF(T8&gt;=Lookups!$B$26,IF(AND(R8="Yes",S8="Yes"),"Covered: keep and monitor","Switch on and train people on the existing feature"),"Partial: configure the tool, then fill the gap"))))</f>
        <v/>
      </c>
      <c r="W8" s="6"/>
    </row>
    <row r="9" customFormat="false" ht="25.5" hidden="false" customHeight="true" outlineLevel="0" collapsed="false">
      <c r="A9" s="6" t="s">
        <v>111</v>
      </c>
      <c r="B9" s="6" t="s">
        <v>101</v>
      </c>
      <c r="C9" s="6" t="s">
        <v>33</v>
      </c>
      <c r="D9" s="6" t="s">
        <v>112</v>
      </c>
      <c r="E9" s="6" t="s">
        <v>113</v>
      </c>
      <c r="F9" s="6" t="s">
        <v>114</v>
      </c>
      <c r="G9" s="6" t="s">
        <v>115</v>
      </c>
      <c r="H9" s="6" t="s">
        <v>65</v>
      </c>
      <c r="I9" s="6" t="s">
        <v>106</v>
      </c>
      <c r="J9" s="6" t="s">
        <v>116</v>
      </c>
      <c r="K9" s="6" t="s">
        <v>117</v>
      </c>
      <c r="L9" s="6" t="s">
        <v>118</v>
      </c>
      <c r="M9" s="6" t="s">
        <v>119</v>
      </c>
      <c r="N9" s="6" t="s">
        <v>59</v>
      </c>
      <c r="O9" s="6" t="s">
        <v>70</v>
      </c>
      <c r="P9" s="10"/>
      <c r="Q9" s="10"/>
      <c r="R9" s="10"/>
      <c r="S9" s="10"/>
      <c r="T9" s="11"/>
      <c r="U9" s="9" t="str">
        <f aca="false">IF(T9="","",1-T9)</f>
        <v/>
      </c>
      <c r="V9" s="6" t="str">
        <f aca="false">IF(P9="","",IF(Q9="No","No AI in current tool: consider add-on or API-based option",IF(T9="","Estimate how much the tool covers",IF(T9&gt;=Lookups!$B$26,IF(AND(R9="Yes",S9="Yes"),"Covered: keep and monitor","Switch on and train people on the existing feature"),"Partial: configure the tool, then fill the gap"))))</f>
        <v/>
      </c>
      <c r="W9" s="6"/>
    </row>
    <row r="10" customFormat="false" ht="25.5" hidden="false" customHeight="true" outlineLevel="0" collapsed="false">
      <c r="A10" s="6" t="s">
        <v>120</v>
      </c>
      <c r="B10" s="6" t="s">
        <v>72</v>
      </c>
      <c r="C10" s="6" t="s">
        <v>33</v>
      </c>
      <c r="D10" s="6" t="s">
        <v>121</v>
      </c>
      <c r="E10" s="6" t="s">
        <v>122</v>
      </c>
      <c r="F10" s="6" t="s">
        <v>123</v>
      </c>
      <c r="G10" s="6" t="s">
        <v>124</v>
      </c>
      <c r="H10" s="6" t="s">
        <v>38</v>
      </c>
      <c r="I10" s="6" t="s">
        <v>76</v>
      </c>
      <c r="J10" s="6" t="s">
        <v>125</v>
      </c>
      <c r="K10" s="6" t="s">
        <v>126</v>
      </c>
      <c r="L10" s="6" t="s">
        <v>127</v>
      </c>
      <c r="M10" s="6" t="s">
        <v>128</v>
      </c>
      <c r="N10" s="6" t="s">
        <v>70</v>
      </c>
      <c r="O10" s="6" t="s">
        <v>45</v>
      </c>
      <c r="P10" s="10"/>
      <c r="Q10" s="10"/>
      <c r="R10" s="10"/>
      <c r="S10" s="10"/>
      <c r="T10" s="11"/>
      <c r="U10" s="9" t="str">
        <f aca="false">IF(T10="","",1-T10)</f>
        <v/>
      </c>
      <c r="V10" s="6" t="str">
        <f aca="false">IF(P10="","",IF(Q10="No","No AI in current tool: consider add-on or API-based option",IF(T10="","Estimate how much the tool covers",IF(T10&gt;=Lookups!$B$26,IF(AND(R10="Yes",S10="Yes"),"Covered: keep and monitor","Switch on and train people on the existing feature"),"Partial: configure the tool, then fill the gap"))))</f>
        <v/>
      </c>
      <c r="W10" s="6"/>
    </row>
    <row r="11" customFormat="false" ht="37.5" hidden="false" customHeight="true" outlineLevel="0" collapsed="false">
      <c r="A11" s="6" t="s">
        <v>129</v>
      </c>
      <c r="B11" s="6" t="s">
        <v>130</v>
      </c>
      <c r="C11" s="6" t="s">
        <v>33</v>
      </c>
      <c r="D11" s="6" t="s">
        <v>121</v>
      </c>
      <c r="E11" s="6" t="s">
        <v>131</v>
      </c>
      <c r="F11" s="6" t="s">
        <v>132</v>
      </c>
      <c r="G11" s="6" t="s">
        <v>133</v>
      </c>
      <c r="H11" s="6" t="s">
        <v>54</v>
      </c>
      <c r="I11" s="6" t="s">
        <v>134</v>
      </c>
      <c r="J11" s="6" t="s">
        <v>135</v>
      </c>
      <c r="K11" s="6" t="s">
        <v>136</v>
      </c>
      <c r="L11" s="6" t="s">
        <v>137</v>
      </c>
      <c r="M11" s="6" t="s">
        <v>138</v>
      </c>
      <c r="N11" s="6" t="s">
        <v>70</v>
      </c>
      <c r="O11" s="6" t="s">
        <v>59</v>
      </c>
      <c r="P11" s="10"/>
      <c r="Q11" s="10"/>
      <c r="R11" s="10"/>
      <c r="S11" s="10"/>
      <c r="T11" s="11"/>
      <c r="U11" s="9" t="str">
        <f aca="false">IF(T11="","",1-T11)</f>
        <v/>
      </c>
      <c r="V11" s="6" t="str">
        <f aca="false">IF(P11="","",IF(Q11="No","No AI in current tool: consider add-on or API-based option",IF(T11="","Estimate how much the tool covers",IF(T11&gt;=Lookups!$B$26,IF(AND(R11="Yes",S11="Yes"),"Covered: keep and monitor","Switch on and train people on the existing feature"),"Partial: configure the tool, then fill the gap"))))</f>
        <v/>
      </c>
      <c r="W11" s="6"/>
    </row>
    <row r="12" customFormat="false" ht="25.5" hidden="false" customHeight="true" outlineLevel="0" collapsed="false">
      <c r="A12" s="6" t="s">
        <v>139</v>
      </c>
      <c r="B12" s="6" t="s">
        <v>72</v>
      </c>
      <c r="C12" s="6" t="s">
        <v>33</v>
      </c>
      <c r="D12" s="6" t="s">
        <v>140</v>
      </c>
      <c r="E12" s="6" t="s">
        <v>141</v>
      </c>
      <c r="F12" s="6" t="s">
        <v>142</v>
      </c>
      <c r="G12" s="6" t="s">
        <v>143</v>
      </c>
      <c r="H12" s="6" t="s">
        <v>38</v>
      </c>
      <c r="I12" s="6" t="s">
        <v>134</v>
      </c>
      <c r="J12" s="6" t="s">
        <v>144</v>
      </c>
      <c r="K12" s="6" t="s">
        <v>145</v>
      </c>
      <c r="L12" s="6" t="s">
        <v>146</v>
      </c>
      <c r="M12" s="6" t="s">
        <v>147</v>
      </c>
      <c r="N12" s="6" t="s">
        <v>59</v>
      </c>
      <c r="O12" s="6" t="s">
        <v>70</v>
      </c>
      <c r="P12" s="10"/>
      <c r="Q12" s="10"/>
      <c r="R12" s="10"/>
      <c r="S12" s="10"/>
      <c r="T12" s="11"/>
      <c r="U12" s="9" t="str">
        <f aca="false">IF(T12="","",1-T12)</f>
        <v/>
      </c>
      <c r="V12" s="6" t="str">
        <f aca="false">IF(P12="","",IF(Q12="No","No AI in current tool: consider add-on or API-based option",IF(T12="","Estimate how much the tool covers",IF(T12&gt;=Lookups!$B$26,IF(AND(R12="Yes",S12="Yes"),"Covered: keep and monitor","Switch on and train people on the existing feature"),"Partial: configure the tool, then fill the gap"))))</f>
        <v/>
      </c>
      <c r="W12" s="6"/>
    </row>
    <row r="13" customFormat="false" ht="25.5" hidden="false" customHeight="true" outlineLevel="0" collapsed="false">
      <c r="A13" s="6" t="s">
        <v>148</v>
      </c>
      <c r="B13" s="6" t="s">
        <v>130</v>
      </c>
      <c r="C13" s="6" t="s">
        <v>33</v>
      </c>
      <c r="D13" s="6" t="s">
        <v>149</v>
      </c>
      <c r="E13" s="6" t="s">
        <v>150</v>
      </c>
      <c r="F13" s="6" t="s">
        <v>151</v>
      </c>
      <c r="G13" s="6" t="s">
        <v>152</v>
      </c>
      <c r="H13" s="6" t="s">
        <v>54</v>
      </c>
      <c r="I13" s="6" t="s">
        <v>85</v>
      </c>
      <c r="J13" s="6" t="s">
        <v>153</v>
      </c>
      <c r="K13" s="6" t="s">
        <v>154</v>
      </c>
      <c r="L13" s="6" t="s">
        <v>155</v>
      </c>
      <c r="M13" s="6" t="s">
        <v>156</v>
      </c>
      <c r="N13" s="6" t="s">
        <v>59</v>
      </c>
      <c r="O13" s="6" t="s">
        <v>45</v>
      </c>
      <c r="P13" s="10"/>
      <c r="Q13" s="10"/>
      <c r="R13" s="10"/>
      <c r="S13" s="10"/>
      <c r="T13" s="11"/>
      <c r="U13" s="9" t="str">
        <f aca="false">IF(T13="","",1-T13)</f>
        <v/>
      </c>
      <c r="V13" s="6" t="str">
        <f aca="false">IF(P13="","",IF(Q13="No","No AI in current tool: consider add-on or API-based option",IF(T13="","Estimate how much the tool covers",IF(T13&gt;=Lookups!$B$26,IF(AND(R13="Yes",S13="Yes"),"Covered: keep and monitor","Switch on and train people on the existing feature"),"Partial: configure the tool, then fill the gap"))))</f>
        <v/>
      </c>
      <c r="W13" s="6"/>
    </row>
    <row r="14" customFormat="false" ht="25.5" hidden="false" customHeight="true" outlineLevel="0" collapsed="false">
      <c r="A14" s="6" t="s">
        <v>157</v>
      </c>
      <c r="B14" s="6" t="s">
        <v>72</v>
      </c>
      <c r="C14" s="6" t="s">
        <v>33</v>
      </c>
      <c r="D14" s="6" t="s">
        <v>158</v>
      </c>
      <c r="E14" s="6" t="s">
        <v>159</v>
      </c>
      <c r="F14" s="6" t="s">
        <v>160</v>
      </c>
      <c r="G14" s="6" t="s">
        <v>161</v>
      </c>
      <c r="H14" s="6" t="s">
        <v>38</v>
      </c>
      <c r="I14" s="6" t="s">
        <v>39</v>
      </c>
      <c r="J14" s="6" t="s">
        <v>162</v>
      </c>
      <c r="K14" s="6" t="s">
        <v>163</v>
      </c>
      <c r="L14" s="6" t="s">
        <v>164</v>
      </c>
      <c r="M14" s="6" t="s">
        <v>165</v>
      </c>
      <c r="N14" s="6" t="s">
        <v>59</v>
      </c>
      <c r="O14" s="6" t="s">
        <v>70</v>
      </c>
      <c r="P14" s="10"/>
      <c r="Q14" s="10"/>
      <c r="R14" s="10"/>
      <c r="S14" s="10"/>
      <c r="T14" s="11"/>
      <c r="U14" s="9" t="str">
        <f aca="false">IF(T14="","",1-T14)</f>
        <v/>
      </c>
      <c r="V14" s="6" t="str">
        <f aca="false">IF(P14="","",IF(Q14="No","No AI in current tool: consider add-on or API-based option",IF(T14="","Estimate how much the tool covers",IF(T14&gt;=Lookups!$B$26,IF(AND(R14="Yes",S14="Yes"),"Covered: keep and monitor","Switch on and train people on the existing feature"),"Partial: configure the tool, then fill the gap"))))</f>
        <v/>
      </c>
      <c r="W14" s="6"/>
    </row>
    <row r="15" customFormat="false" ht="25.5" hidden="false" customHeight="true" outlineLevel="0" collapsed="false">
      <c r="A15" s="6" t="s">
        <v>166</v>
      </c>
      <c r="B15" s="6" t="s">
        <v>32</v>
      </c>
      <c r="C15" s="6" t="s">
        <v>33</v>
      </c>
      <c r="D15" s="6" t="s">
        <v>112</v>
      </c>
      <c r="E15" s="6" t="s">
        <v>167</v>
      </c>
      <c r="F15" s="6" t="s">
        <v>168</v>
      </c>
      <c r="G15" s="6" t="s">
        <v>169</v>
      </c>
      <c r="H15" s="6" t="s">
        <v>170</v>
      </c>
      <c r="I15" s="6" t="s">
        <v>39</v>
      </c>
      <c r="J15" s="6" t="s">
        <v>171</v>
      </c>
      <c r="K15" s="6" t="s">
        <v>172</v>
      </c>
      <c r="L15" s="6" t="s">
        <v>173</v>
      </c>
      <c r="M15" s="6" t="s">
        <v>174</v>
      </c>
      <c r="N15" s="6" t="s">
        <v>70</v>
      </c>
      <c r="O15" s="6" t="s">
        <v>45</v>
      </c>
      <c r="P15" s="10"/>
      <c r="Q15" s="10"/>
      <c r="R15" s="10"/>
      <c r="S15" s="10"/>
      <c r="T15" s="11"/>
      <c r="U15" s="9" t="str">
        <f aca="false">IF(T15="","",1-T15)</f>
        <v/>
      </c>
      <c r="V15" s="6" t="str">
        <f aca="false">IF(P15="","",IF(Q15="No","No AI in current tool: consider add-on or API-based option",IF(T15="","Estimate how much the tool covers",IF(T15&gt;=Lookups!$B$26,IF(AND(R15="Yes",S15="Yes"),"Covered: keep and monitor","Switch on and train people on the existing feature"),"Partial: configure the tool, then fill the gap"))))</f>
        <v/>
      </c>
      <c r="W15" s="6"/>
    </row>
    <row r="16" customFormat="false" ht="25.5" hidden="false" customHeight="true" outlineLevel="0" collapsed="false">
      <c r="A16" s="6" t="s">
        <v>175</v>
      </c>
      <c r="B16" s="6" t="s">
        <v>101</v>
      </c>
      <c r="C16" s="6" t="s">
        <v>176</v>
      </c>
      <c r="D16" s="6" t="s">
        <v>177</v>
      </c>
      <c r="E16" s="6" t="s">
        <v>178</v>
      </c>
      <c r="F16" s="6" t="s">
        <v>179</v>
      </c>
      <c r="G16" s="6" t="s">
        <v>180</v>
      </c>
      <c r="H16" s="6" t="s">
        <v>65</v>
      </c>
      <c r="I16" s="6" t="s">
        <v>106</v>
      </c>
      <c r="J16" s="6" t="s">
        <v>181</v>
      </c>
      <c r="K16" s="6" t="s">
        <v>182</v>
      </c>
      <c r="L16" s="6" t="s">
        <v>183</v>
      </c>
      <c r="M16" s="6" t="s">
        <v>184</v>
      </c>
      <c r="N16" s="6" t="s">
        <v>59</v>
      </c>
      <c r="O16" s="6" t="s">
        <v>59</v>
      </c>
      <c r="P16" s="10"/>
      <c r="Q16" s="10"/>
      <c r="R16" s="10"/>
      <c r="S16" s="10"/>
      <c r="T16" s="11"/>
      <c r="U16" s="9" t="str">
        <f aca="false">IF(T16="","",1-T16)</f>
        <v/>
      </c>
      <c r="V16" s="6" t="str">
        <f aca="false">IF(P16="","",IF(Q16="No","No AI in current tool: consider add-on or API-based option",IF(T16="","Estimate how much the tool covers",IF(T16&gt;=Lookups!$B$26,IF(AND(R16="Yes",S16="Yes"),"Covered: keep and monitor","Switch on and train people on the existing feature"),"Partial: configure the tool, then fill the gap"))))</f>
        <v/>
      </c>
      <c r="W16" s="6"/>
    </row>
    <row r="17" customFormat="false" ht="25.5" hidden="false" customHeight="true" outlineLevel="0" collapsed="false">
      <c r="A17" s="6" t="s">
        <v>185</v>
      </c>
      <c r="B17" s="6" t="s">
        <v>101</v>
      </c>
      <c r="C17" s="6" t="s">
        <v>176</v>
      </c>
      <c r="D17" s="6" t="s">
        <v>177</v>
      </c>
      <c r="E17" s="6" t="s">
        <v>186</v>
      </c>
      <c r="F17" s="6" t="s">
        <v>187</v>
      </c>
      <c r="G17" s="6" t="s">
        <v>188</v>
      </c>
      <c r="H17" s="6" t="s">
        <v>105</v>
      </c>
      <c r="I17" s="6" t="s">
        <v>106</v>
      </c>
      <c r="J17" s="6" t="s">
        <v>189</v>
      </c>
      <c r="K17" s="6" t="s">
        <v>190</v>
      </c>
      <c r="L17" s="6" t="s">
        <v>191</v>
      </c>
      <c r="M17" s="6" t="s">
        <v>192</v>
      </c>
      <c r="N17" s="6" t="s">
        <v>59</v>
      </c>
      <c r="O17" s="6" t="s">
        <v>59</v>
      </c>
      <c r="P17" s="10"/>
      <c r="Q17" s="10"/>
      <c r="R17" s="10"/>
      <c r="S17" s="10"/>
      <c r="T17" s="11"/>
      <c r="U17" s="9" t="str">
        <f aca="false">IF(T17="","",1-T17)</f>
        <v/>
      </c>
      <c r="V17" s="6" t="str">
        <f aca="false">IF(P17="","",IF(Q17="No","No AI in current tool: consider add-on or API-based option",IF(T17="","Estimate how much the tool covers",IF(T17&gt;=Lookups!$B$26,IF(AND(R17="Yes",S17="Yes"),"Covered: keep and monitor","Switch on and train people on the existing feature"),"Partial: configure the tool, then fill the gap"))))</f>
        <v/>
      </c>
      <c r="W17" s="6"/>
    </row>
    <row r="18" customFormat="false" ht="25.5" hidden="false" customHeight="true" outlineLevel="0" collapsed="false">
      <c r="A18" s="6" t="s">
        <v>193</v>
      </c>
      <c r="B18" s="6" t="s">
        <v>72</v>
      </c>
      <c r="C18" s="6" t="s">
        <v>176</v>
      </c>
      <c r="D18" s="6" t="s">
        <v>194</v>
      </c>
      <c r="E18" s="6" t="s">
        <v>195</v>
      </c>
      <c r="F18" s="6" t="s">
        <v>196</v>
      </c>
      <c r="G18" s="6" t="s">
        <v>197</v>
      </c>
      <c r="H18" s="6" t="s">
        <v>95</v>
      </c>
      <c r="I18" s="6" t="s">
        <v>134</v>
      </c>
      <c r="J18" s="6" t="s">
        <v>198</v>
      </c>
      <c r="K18" s="6" t="s">
        <v>199</v>
      </c>
      <c r="L18" s="6" t="s">
        <v>200</v>
      </c>
      <c r="M18" s="6" t="s">
        <v>201</v>
      </c>
      <c r="N18" s="6" t="s">
        <v>59</v>
      </c>
      <c r="O18" s="6" t="s">
        <v>70</v>
      </c>
      <c r="P18" s="10"/>
      <c r="Q18" s="10"/>
      <c r="R18" s="10"/>
      <c r="S18" s="10"/>
      <c r="T18" s="11"/>
      <c r="U18" s="9" t="str">
        <f aca="false">IF(T18="","",1-T18)</f>
        <v/>
      </c>
      <c r="V18" s="6" t="str">
        <f aca="false">IF(P18="","",IF(Q18="No","No AI in current tool: consider add-on or API-based option",IF(T18="","Estimate how much the tool covers",IF(T18&gt;=Lookups!$B$26,IF(AND(R18="Yes",S18="Yes"),"Covered: keep and monitor","Switch on and train people on the existing feature"),"Partial: configure the tool, then fill the gap"))))</f>
        <v/>
      </c>
      <c r="W18" s="6"/>
    </row>
    <row r="19" customFormat="false" ht="25.5" hidden="false" customHeight="true" outlineLevel="0" collapsed="false">
      <c r="A19" s="6" t="s">
        <v>202</v>
      </c>
      <c r="B19" s="6" t="s">
        <v>101</v>
      </c>
      <c r="C19" s="6" t="s">
        <v>176</v>
      </c>
      <c r="D19" s="6" t="s">
        <v>140</v>
      </c>
      <c r="E19" s="6" t="s">
        <v>203</v>
      </c>
      <c r="F19" s="6" t="s">
        <v>204</v>
      </c>
      <c r="G19" s="6" t="s">
        <v>205</v>
      </c>
      <c r="H19" s="6" t="s">
        <v>65</v>
      </c>
      <c r="I19" s="6" t="s">
        <v>106</v>
      </c>
      <c r="J19" s="6" t="s">
        <v>206</v>
      </c>
      <c r="K19" s="6" t="s">
        <v>207</v>
      </c>
      <c r="L19" s="6" t="s">
        <v>208</v>
      </c>
      <c r="M19" s="6" t="s">
        <v>209</v>
      </c>
      <c r="N19" s="6" t="s">
        <v>70</v>
      </c>
      <c r="O19" s="6" t="s">
        <v>59</v>
      </c>
      <c r="P19" s="10"/>
      <c r="Q19" s="10"/>
      <c r="R19" s="10"/>
      <c r="S19" s="10"/>
      <c r="T19" s="11"/>
      <c r="U19" s="9" t="str">
        <f aca="false">IF(T19="","",1-T19)</f>
        <v/>
      </c>
      <c r="V19" s="6" t="str">
        <f aca="false">IF(P19="","",IF(Q19="No","No AI in current tool: consider add-on or API-based option",IF(T19="","Estimate how much the tool covers",IF(T19&gt;=Lookups!$B$26,IF(AND(R19="Yes",S19="Yes"),"Covered: keep and monitor","Switch on and train people on the existing feature"),"Partial: configure the tool, then fill the gap"))))</f>
        <v/>
      </c>
      <c r="W19" s="6"/>
    </row>
    <row r="20" customFormat="false" ht="25.5" hidden="false" customHeight="true" outlineLevel="0" collapsed="false">
      <c r="A20" s="6" t="s">
        <v>210</v>
      </c>
      <c r="B20" s="6" t="s">
        <v>72</v>
      </c>
      <c r="C20" s="6" t="s">
        <v>211</v>
      </c>
      <c r="D20" s="6" t="s">
        <v>212</v>
      </c>
      <c r="E20" s="6" t="s">
        <v>213</v>
      </c>
      <c r="F20" s="6" t="s">
        <v>214</v>
      </c>
      <c r="G20" s="6" t="s">
        <v>215</v>
      </c>
      <c r="H20" s="6" t="s">
        <v>216</v>
      </c>
      <c r="I20" s="6" t="s">
        <v>134</v>
      </c>
      <c r="J20" s="6" t="s">
        <v>217</v>
      </c>
      <c r="K20" s="6" t="s">
        <v>218</v>
      </c>
      <c r="L20" s="6" t="s">
        <v>219</v>
      </c>
      <c r="M20" s="6" t="s">
        <v>220</v>
      </c>
      <c r="N20" s="6" t="s">
        <v>59</v>
      </c>
      <c r="O20" s="6" t="s">
        <v>59</v>
      </c>
      <c r="P20" s="10"/>
      <c r="Q20" s="10"/>
      <c r="R20" s="10"/>
      <c r="S20" s="10"/>
      <c r="T20" s="11"/>
      <c r="U20" s="9" t="str">
        <f aca="false">IF(T20="","",1-T20)</f>
        <v/>
      </c>
      <c r="V20" s="6" t="str">
        <f aca="false">IF(P20="","",IF(Q20="No","No AI in current tool: consider add-on or API-based option",IF(T20="","Estimate how much the tool covers",IF(T20&gt;=Lookups!$B$26,IF(AND(R20="Yes",S20="Yes"),"Covered: keep and monitor","Switch on and train people on the existing feature"),"Partial: configure the tool, then fill the gap"))))</f>
        <v/>
      </c>
      <c r="W20" s="6"/>
    </row>
    <row r="21" customFormat="false" ht="25.5" hidden="false" customHeight="true" outlineLevel="0" collapsed="false">
      <c r="A21" s="6" t="s">
        <v>221</v>
      </c>
      <c r="B21" s="6" t="s">
        <v>101</v>
      </c>
      <c r="C21" s="6" t="s">
        <v>211</v>
      </c>
      <c r="D21" s="6" t="s">
        <v>177</v>
      </c>
      <c r="E21" s="6" t="s">
        <v>222</v>
      </c>
      <c r="F21" s="6" t="s">
        <v>223</v>
      </c>
      <c r="G21" s="6" t="s">
        <v>224</v>
      </c>
      <c r="H21" s="6" t="s">
        <v>105</v>
      </c>
      <c r="I21" s="6" t="s">
        <v>106</v>
      </c>
      <c r="J21" s="6" t="s">
        <v>225</v>
      </c>
      <c r="K21" s="6" t="s">
        <v>226</v>
      </c>
      <c r="L21" s="6" t="s">
        <v>227</v>
      </c>
      <c r="M21" s="6" t="s">
        <v>228</v>
      </c>
      <c r="N21" s="6" t="s">
        <v>59</v>
      </c>
      <c r="O21" s="6" t="s">
        <v>70</v>
      </c>
      <c r="P21" s="10"/>
      <c r="Q21" s="10"/>
      <c r="R21" s="10"/>
      <c r="S21" s="10"/>
      <c r="T21" s="11"/>
      <c r="U21" s="9" t="str">
        <f aca="false">IF(T21="","",1-T21)</f>
        <v/>
      </c>
      <c r="V21" s="6" t="str">
        <f aca="false">IF(P21="","",IF(Q21="No","No AI in current tool: consider add-on or API-based option",IF(T21="","Estimate how much the tool covers",IF(T21&gt;=Lookups!$B$26,IF(AND(R21="Yes",S21="Yes"),"Covered: keep and monitor","Switch on and train people on the existing feature"),"Partial: configure the tool, then fill the gap"))))</f>
        <v/>
      </c>
      <c r="W21" s="6"/>
    </row>
    <row r="22" customFormat="false" ht="37.5" hidden="false" customHeight="true" outlineLevel="0" collapsed="false">
      <c r="A22" s="6" t="s">
        <v>229</v>
      </c>
      <c r="B22" s="6" t="s">
        <v>72</v>
      </c>
      <c r="C22" s="6" t="s">
        <v>211</v>
      </c>
      <c r="D22" s="6" t="s">
        <v>230</v>
      </c>
      <c r="E22" s="6" t="s">
        <v>231</v>
      </c>
      <c r="F22" s="6" t="s">
        <v>232</v>
      </c>
      <c r="G22" s="6" t="s">
        <v>233</v>
      </c>
      <c r="H22" s="6" t="s">
        <v>95</v>
      </c>
      <c r="I22" s="6" t="s">
        <v>134</v>
      </c>
      <c r="J22" s="6" t="s">
        <v>234</v>
      </c>
      <c r="K22" s="6" t="s">
        <v>235</v>
      </c>
      <c r="L22" s="6" t="s">
        <v>236</v>
      </c>
      <c r="M22" s="6" t="s">
        <v>237</v>
      </c>
      <c r="N22" s="6" t="s">
        <v>59</v>
      </c>
      <c r="O22" s="6" t="s">
        <v>70</v>
      </c>
      <c r="P22" s="10"/>
      <c r="Q22" s="10"/>
      <c r="R22" s="10"/>
      <c r="S22" s="10"/>
      <c r="T22" s="11"/>
      <c r="U22" s="9" t="str">
        <f aca="false">IF(T22="","",1-T22)</f>
        <v/>
      </c>
      <c r="V22" s="6" t="str">
        <f aca="false">IF(P22="","",IF(Q22="No","No AI in current tool: consider add-on or API-based option",IF(T22="","Estimate how much the tool covers",IF(T22&gt;=Lookups!$B$26,IF(AND(R22="Yes",S22="Yes"),"Covered: keep and monitor","Switch on and train people on the existing feature"),"Partial: configure the tool, then fill the gap"))))</f>
        <v/>
      </c>
      <c r="W22" s="6"/>
    </row>
    <row r="23" customFormat="false" ht="25.5" hidden="false" customHeight="true" outlineLevel="0" collapsed="false">
      <c r="A23" s="6" t="s">
        <v>238</v>
      </c>
      <c r="B23" s="6" t="s">
        <v>72</v>
      </c>
      <c r="C23" s="6" t="s">
        <v>239</v>
      </c>
      <c r="D23" s="6" t="s">
        <v>240</v>
      </c>
      <c r="E23" s="6" t="s">
        <v>241</v>
      </c>
      <c r="F23" s="6" t="s">
        <v>242</v>
      </c>
      <c r="G23" s="6" t="s">
        <v>243</v>
      </c>
      <c r="H23" s="6" t="s">
        <v>244</v>
      </c>
      <c r="I23" s="6" t="s">
        <v>134</v>
      </c>
      <c r="J23" s="6" t="s">
        <v>245</v>
      </c>
      <c r="K23" s="6" t="s">
        <v>246</v>
      </c>
      <c r="L23" s="6" t="s">
        <v>247</v>
      </c>
      <c r="M23" s="6" t="s">
        <v>248</v>
      </c>
      <c r="N23" s="6" t="s">
        <v>59</v>
      </c>
      <c r="O23" s="6" t="s">
        <v>45</v>
      </c>
      <c r="P23" s="10"/>
      <c r="Q23" s="10"/>
      <c r="R23" s="10"/>
      <c r="S23" s="10"/>
      <c r="T23" s="11"/>
      <c r="U23" s="9" t="str">
        <f aca="false">IF(T23="","",1-T23)</f>
        <v/>
      </c>
      <c r="V23" s="6" t="str">
        <f aca="false">IF(P23="","",IF(Q23="No","No AI in current tool: consider add-on or API-based option",IF(T23="","Estimate how much the tool covers",IF(T23&gt;=Lookups!$B$26,IF(AND(R23="Yes",S23="Yes"),"Covered: keep and monitor","Switch on and train people on the existing feature"),"Partial: configure the tool, then fill the gap"))))</f>
        <v/>
      </c>
      <c r="W23" s="6"/>
    </row>
    <row r="24" customFormat="false" ht="25.5" hidden="false" customHeight="true" outlineLevel="0" collapsed="false">
      <c r="A24" s="6" t="s">
        <v>249</v>
      </c>
      <c r="B24" s="6" t="s">
        <v>101</v>
      </c>
      <c r="C24" s="6" t="s">
        <v>239</v>
      </c>
      <c r="D24" s="6" t="s">
        <v>61</v>
      </c>
      <c r="E24" s="6" t="s">
        <v>250</v>
      </c>
      <c r="F24" s="6" t="s">
        <v>251</v>
      </c>
      <c r="G24" s="6" t="s">
        <v>252</v>
      </c>
      <c r="H24" s="6" t="s">
        <v>253</v>
      </c>
      <c r="I24" s="6" t="s">
        <v>39</v>
      </c>
      <c r="J24" s="6" t="s">
        <v>254</v>
      </c>
      <c r="K24" s="6" t="s">
        <v>255</v>
      </c>
      <c r="L24" s="6" t="s">
        <v>256</v>
      </c>
      <c r="M24" s="6" t="s">
        <v>257</v>
      </c>
      <c r="N24" s="6" t="s">
        <v>59</v>
      </c>
      <c r="O24" s="6" t="s">
        <v>45</v>
      </c>
      <c r="P24" s="10"/>
      <c r="Q24" s="10"/>
      <c r="R24" s="10"/>
      <c r="S24" s="10"/>
      <c r="T24" s="11"/>
      <c r="U24" s="9" t="str">
        <f aca="false">IF(T24="","",1-T24)</f>
        <v/>
      </c>
      <c r="V24" s="6" t="str">
        <f aca="false">IF(P24="","",IF(Q24="No","No AI in current tool: consider add-on or API-based option",IF(T24="","Estimate how much the tool covers",IF(T24&gt;=Lookups!$B$26,IF(AND(R24="Yes",S24="Yes"),"Covered: keep and monitor","Switch on and train people on the existing feature"),"Partial: configure the tool, then fill the gap"))))</f>
        <v/>
      </c>
      <c r="W24" s="6"/>
    </row>
    <row r="25" customFormat="false" ht="25.5" hidden="false" customHeight="true" outlineLevel="0" collapsed="false">
      <c r="A25" s="6" t="s">
        <v>258</v>
      </c>
      <c r="B25" s="6" t="s">
        <v>32</v>
      </c>
      <c r="C25" s="6" t="s">
        <v>239</v>
      </c>
      <c r="D25" s="6" t="s">
        <v>34</v>
      </c>
      <c r="E25" s="6" t="s">
        <v>259</v>
      </c>
      <c r="F25" s="6" t="s">
        <v>260</v>
      </c>
      <c r="G25" s="6" t="s">
        <v>261</v>
      </c>
      <c r="H25" s="6" t="s">
        <v>262</v>
      </c>
      <c r="I25" s="6" t="s">
        <v>39</v>
      </c>
      <c r="J25" s="6" t="s">
        <v>263</v>
      </c>
      <c r="K25" s="6" t="s">
        <v>264</v>
      </c>
      <c r="L25" s="6" t="s">
        <v>265</v>
      </c>
      <c r="M25" s="6" t="s">
        <v>266</v>
      </c>
      <c r="N25" s="6" t="s">
        <v>44</v>
      </c>
      <c r="O25" s="6" t="s">
        <v>45</v>
      </c>
      <c r="P25" s="10"/>
      <c r="Q25" s="10"/>
      <c r="R25" s="10"/>
      <c r="S25" s="10"/>
      <c r="T25" s="11"/>
      <c r="U25" s="9" t="str">
        <f aca="false">IF(T25="","",1-T25)</f>
        <v/>
      </c>
      <c r="V25" s="6" t="str">
        <f aca="false">IF(P25="","",IF(Q25="No","No AI in current tool: consider add-on or API-based option",IF(T25="","Estimate how much the tool covers",IF(T25&gt;=Lookups!$B$26,IF(AND(R25="Yes",S25="Yes"),"Covered: keep and monitor","Switch on and train people on the existing feature"),"Partial: configure the tool, then fill the gap"))))</f>
        <v/>
      </c>
      <c r="W25" s="6"/>
    </row>
    <row r="26" customFormat="false" ht="25.5" hidden="false" customHeight="true" outlineLevel="0" collapsed="false">
      <c r="A26" s="6" t="s">
        <v>267</v>
      </c>
      <c r="B26" s="6" t="s">
        <v>101</v>
      </c>
      <c r="C26" s="6" t="s">
        <v>239</v>
      </c>
      <c r="D26" s="6" t="s">
        <v>61</v>
      </c>
      <c r="E26" s="6" t="s">
        <v>268</v>
      </c>
      <c r="F26" s="6" t="s">
        <v>269</v>
      </c>
      <c r="G26" s="6" t="s">
        <v>270</v>
      </c>
      <c r="H26" s="6" t="s">
        <v>65</v>
      </c>
      <c r="I26" s="6" t="s">
        <v>106</v>
      </c>
      <c r="J26" s="6" t="s">
        <v>271</v>
      </c>
      <c r="K26" s="6" t="s">
        <v>272</v>
      </c>
      <c r="L26" s="6" t="s">
        <v>273</v>
      </c>
      <c r="M26" s="6" t="s">
        <v>274</v>
      </c>
      <c r="N26" s="6" t="s">
        <v>70</v>
      </c>
      <c r="O26" s="6" t="s">
        <v>70</v>
      </c>
      <c r="P26" s="10"/>
      <c r="Q26" s="10"/>
      <c r="R26" s="10"/>
      <c r="S26" s="10"/>
      <c r="T26" s="11"/>
      <c r="U26" s="9" t="str">
        <f aca="false">IF(T26="","",1-T26)</f>
        <v/>
      </c>
      <c r="V26" s="6" t="str">
        <f aca="false">IF(P26="","",IF(Q26="No","No AI in current tool: consider add-on or API-based option",IF(T26="","Estimate how much the tool covers",IF(T26&gt;=Lookups!$B$26,IF(AND(R26="Yes",S26="Yes"),"Covered: keep and monitor","Switch on and train people on the existing feature"),"Partial: configure the tool, then fill the gap"))))</f>
        <v/>
      </c>
      <c r="W26" s="6"/>
    </row>
    <row r="27" customFormat="false" ht="25.5" hidden="false" customHeight="true" outlineLevel="0" collapsed="false">
      <c r="A27" s="6" t="s">
        <v>275</v>
      </c>
      <c r="B27" s="6" t="s">
        <v>101</v>
      </c>
      <c r="C27" s="6" t="s">
        <v>276</v>
      </c>
      <c r="D27" s="6" t="s">
        <v>112</v>
      </c>
      <c r="E27" s="6" t="s">
        <v>277</v>
      </c>
      <c r="F27" s="6" t="s">
        <v>278</v>
      </c>
      <c r="G27" s="6" t="s">
        <v>279</v>
      </c>
      <c r="H27" s="6" t="s">
        <v>65</v>
      </c>
      <c r="I27" s="6" t="s">
        <v>106</v>
      </c>
      <c r="J27" s="6" t="s">
        <v>280</v>
      </c>
      <c r="K27" s="6" t="s">
        <v>281</v>
      </c>
      <c r="L27" s="6" t="s">
        <v>282</v>
      </c>
      <c r="M27" s="6" t="s">
        <v>283</v>
      </c>
      <c r="N27" s="6" t="s">
        <v>59</v>
      </c>
      <c r="O27" s="6" t="s">
        <v>70</v>
      </c>
      <c r="P27" s="10"/>
      <c r="Q27" s="10"/>
      <c r="R27" s="10"/>
      <c r="S27" s="10"/>
      <c r="T27" s="11"/>
      <c r="U27" s="9" t="str">
        <f aca="false">IF(T27="","",1-T27)</f>
        <v/>
      </c>
      <c r="V27" s="6" t="str">
        <f aca="false">IF(P27="","",IF(Q27="No","No AI in current tool: consider add-on or API-based option",IF(T27="","Estimate how much the tool covers",IF(T27&gt;=Lookups!$B$26,IF(AND(R27="Yes",S27="Yes"),"Covered: keep and monitor","Switch on and train people on the existing feature"),"Partial: configure the tool, then fill the gap"))))</f>
        <v/>
      </c>
      <c r="W27" s="6"/>
    </row>
    <row r="28" customFormat="false" ht="25.5" hidden="false" customHeight="true" outlineLevel="0" collapsed="false">
      <c r="A28" s="6" t="s">
        <v>284</v>
      </c>
      <c r="B28" s="6" t="s">
        <v>285</v>
      </c>
      <c r="C28" s="6" t="s">
        <v>276</v>
      </c>
      <c r="D28" s="6" t="s">
        <v>112</v>
      </c>
      <c r="E28" s="6" t="s">
        <v>286</v>
      </c>
      <c r="F28" s="6" t="s">
        <v>287</v>
      </c>
      <c r="G28" s="6" t="s">
        <v>288</v>
      </c>
      <c r="H28" s="6" t="s">
        <v>289</v>
      </c>
      <c r="I28" s="6" t="s">
        <v>290</v>
      </c>
      <c r="J28" s="6" t="s">
        <v>291</v>
      </c>
      <c r="K28" s="6" t="s">
        <v>292</v>
      </c>
      <c r="L28" s="6" t="s">
        <v>293</v>
      </c>
      <c r="M28" s="6" t="s">
        <v>294</v>
      </c>
      <c r="N28" s="6" t="s">
        <v>45</v>
      </c>
      <c r="O28" s="6" t="s">
        <v>59</v>
      </c>
      <c r="P28" s="10"/>
      <c r="Q28" s="10"/>
      <c r="R28" s="10"/>
      <c r="S28" s="10"/>
      <c r="T28" s="11"/>
      <c r="U28" s="9" t="str">
        <f aca="false">IF(T28="","",1-T28)</f>
        <v/>
      </c>
      <c r="V28" s="6" t="str">
        <f aca="false">IF(P28="","",IF(Q28="No","No AI in current tool: consider add-on or API-based option",IF(T28="","Estimate how much the tool covers",IF(T28&gt;=Lookups!$B$26,IF(AND(R28="Yes",S28="Yes"),"Covered: keep and monitor","Switch on and train people on the existing feature"),"Partial: configure the tool, then fill the gap"))))</f>
        <v/>
      </c>
      <c r="W28" s="6"/>
    </row>
    <row r="29" customFormat="false" ht="25.5" hidden="false" customHeight="true" outlineLevel="0" collapsed="false">
      <c r="A29" s="6" t="s">
        <v>295</v>
      </c>
      <c r="B29" s="6" t="s">
        <v>285</v>
      </c>
      <c r="C29" s="6" t="s">
        <v>296</v>
      </c>
      <c r="D29" s="6" t="s">
        <v>297</v>
      </c>
      <c r="E29" s="6" t="s">
        <v>298</v>
      </c>
      <c r="F29" s="6" t="s">
        <v>299</v>
      </c>
      <c r="G29" s="6" t="s">
        <v>300</v>
      </c>
      <c r="H29" s="6" t="s">
        <v>301</v>
      </c>
      <c r="I29" s="6" t="s">
        <v>302</v>
      </c>
      <c r="J29" s="6" t="s">
        <v>303</v>
      </c>
      <c r="K29" s="6" t="s">
        <v>304</v>
      </c>
      <c r="L29" s="6" t="s">
        <v>305</v>
      </c>
      <c r="M29" s="6" t="s">
        <v>306</v>
      </c>
      <c r="N29" s="6" t="s">
        <v>59</v>
      </c>
      <c r="O29" s="6" t="s">
        <v>70</v>
      </c>
      <c r="P29" s="10"/>
      <c r="Q29" s="10"/>
      <c r="R29" s="10"/>
      <c r="S29" s="10"/>
      <c r="T29" s="11"/>
      <c r="U29" s="9" t="str">
        <f aca="false">IF(T29="","",1-T29)</f>
        <v/>
      </c>
      <c r="V29" s="6" t="str">
        <f aca="false">IF(P29="","",IF(Q29="No","No AI in current tool: consider add-on or API-based option",IF(T29="","Estimate how much the tool covers",IF(T29&gt;=Lookups!$B$26,IF(AND(R29="Yes",S29="Yes"),"Covered: keep and monitor","Switch on and train people on the existing feature"),"Partial: configure the tool, then fill the gap"))))</f>
        <v/>
      </c>
      <c r="W29" s="6"/>
    </row>
    <row r="30" customFormat="false" ht="25.5" hidden="false" customHeight="true" outlineLevel="0" collapsed="false">
      <c r="A30" s="6" t="s">
        <v>307</v>
      </c>
      <c r="B30" s="6" t="s">
        <v>72</v>
      </c>
      <c r="C30" s="6" t="s">
        <v>296</v>
      </c>
      <c r="D30" s="6" t="s">
        <v>194</v>
      </c>
      <c r="E30" s="6" t="s">
        <v>308</v>
      </c>
      <c r="F30" s="6" t="s">
        <v>309</v>
      </c>
      <c r="G30" s="6" t="s">
        <v>310</v>
      </c>
      <c r="H30" s="6" t="s">
        <v>95</v>
      </c>
      <c r="I30" s="6" t="s">
        <v>134</v>
      </c>
      <c r="J30" s="6" t="s">
        <v>311</v>
      </c>
      <c r="K30" s="6" t="s">
        <v>312</v>
      </c>
      <c r="L30" s="6" t="s">
        <v>313</v>
      </c>
      <c r="M30" s="6" t="s">
        <v>314</v>
      </c>
      <c r="N30" s="6" t="s">
        <v>59</v>
      </c>
      <c r="O30" s="6" t="s">
        <v>70</v>
      </c>
      <c r="P30" s="10"/>
      <c r="Q30" s="10"/>
      <c r="R30" s="10"/>
      <c r="S30" s="10"/>
      <c r="T30" s="11"/>
      <c r="U30" s="9" t="str">
        <f aca="false">IF(T30="","",1-T30)</f>
        <v/>
      </c>
      <c r="V30" s="6" t="str">
        <f aca="false">IF(P30="","",IF(Q30="No","No AI in current tool: consider add-on or API-based option",IF(T30="","Estimate how much the tool covers",IF(T30&gt;=Lookups!$B$26,IF(AND(R30="Yes",S30="Yes"),"Covered: keep and monitor","Switch on and train people on the existing feature"),"Partial: configure the tool, then fill the gap"))))</f>
        <v/>
      </c>
      <c r="W30" s="6"/>
    </row>
    <row r="31" customFormat="false" ht="25.5" hidden="false" customHeight="true" outlineLevel="0" collapsed="false">
      <c r="A31" s="6" t="s">
        <v>315</v>
      </c>
      <c r="B31" s="6" t="s">
        <v>101</v>
      </c>
      <c r="C31" s="6" t="s">
        <v>296</v>
      </c>
      <c r="D31" s="6" t="s">
        <v>112</v>
      </c>
      <c r="E31" s="6" t="s">
        <v>316</v>
      </c>
      <c r="F31" s="6" t="s">
        <v>317</v>
      </c>
      <c r="G31" s="6" t="s">
        <v>318</v>
      </c>
      <c r="H31" s="6" t="s">
        <v>65</v>
      </c>
      <c r="I31" s="6" t="s">
        <v>106</v>
      </c>
      <c r="J31" s="6" t="s">
        <v>319</v>
      </c>
      <c r="K31" s="6" t="s">
        <v>320</v>
      </c>
      <c r="L31" s="6" t="s">
        <v>321</v>
      </c>
      <c r="M31" s="6" t="s">
        <v>322</v>
      </c>
      <c r="N31" s="6" t="s">
        <v>70</v>
      </c>
      <c r="O31" s="6" t="s">
        <v>70</v>
      </c>
      <c r="P31" s="10"/>
      <c r="Q31" s="10"/>
      <c r="R31" s="10"/>
      <c r="S31" s="10"/>
      <c r="T31" s="11"/>
      <c r="U31" s="9" t="str">
        <f aca="false">IF(T31="","",1-T31)</f>
        <v/>
      </c>
      <c r="V31" s="6" t="str">
        <f aca="false">IF(P31="","",IF(Q31="No","No AI in current tool: consider add-on or API-based option",IF(T31="","Estimate how much the tool covers",IF(T31&gt;=Lookups!$B$26,IF(AND(R31="Yes",S31="Yes"),"Covered: keep and monitor","Switch on and train people on the existing feature"),"Partial: configure the tool, then fill the gap"))))</f>
        <v/>
      </c>
      <c r="W31" s="6"/>
    </row>
    <row r="32" customFormat="false" ht="25.5" hidden="false" customHeight="true" outlineLevel="0" collapsed="false">
      <c r="A32" s="6" t="s">
        <v>323</v>
      </c>
      <c r="B32" s="6" t="s">
        <v>285</v>
      </c>
      <c r="C32" s="6" t="s">
        <v>324</v>
      </c>
      <c r="D32" s="6" t="s">
        <v>325</v>
      </c>
      <c r="E32" s="6" t="s">
        <v>326</v>
      </c>
      <c r="F32" s="6" t="s">
        <v>327</v>
      </c>
      <c r="G32" s="6" t="s">
        <v>328</v>
      </c>
      <c r="H32" s="6" t="s">
        <v>65</v>
      </c>
      <c r="I32" s="6" t="s">
        <v>106</v>
      </c>
      <c r="J32" s="6" t="s">
        <v>329</v>
      </c>
      <c r="K32" s="6" t="s">
        <v>330</v>
      </c>
      <c r="L32" s="6" t="s">
        <v>331</v>
      </c>
      <c r="M32" s="6" t="s">
        <v>332</v>
      </c>
      <c r="N32" s="6" t="s">
        <v>59</v>
      </c>
      <c r="O32" s="6" t="s">
        <v>59</v>
      </c>
      <c r="P32" s="10"/>
      <c r="Q32" s="10"/>
      <c r="R32" s="10"/>
      <c r="S32" s="10"/>
      <c r="T32" s="11"/>
      <c r="U32" s="9" t="str">
        <f aca="false">IF(T32="","",1-T32)</f>
        <v/>
      </c>
      <c r="V32" s="6" t="str">
        <f aca="false">IF(P32="","",IF(Q32="No","No AI in current tool: consider add-on or API-based option",IF(T32="","Estimate how much the tool covers",IF(T32&gt;=Lookups!$B$26,IF(AND(R32="Yes",S32="Yes"),"Covered: keep and monitor","Switch on and train people on the existing feature"),"Partial: configure the tool, then fill the gap"))))</f>
        <v/>
      </c>
      <c r="W32" s="6"/>
    </row>
    <row r="33" customFormat="false" ht="25.5" hidden="false" customHeight="true" outlineLevel="0" collapsed="false">
      <c r="A33" s="6" t="s">
        <v>333</v>
      </c>
      <c r="B33" s="6" t="s">
        <v>285</v>
      </c>
      <c r="C33" s="6" t="s">
        <v>324</v>
      </c>
      <c r="D33" s="6" t="s">
        <v>325</v>
      </c>
      <c r="E33" s="6" t="s">
        <v>334</v>
      </c>
      <c r="F33" s="6" t="s">
        <v>335</v>
      </c>
      <c r="G33" s="6" t="s">
        <v>336</v>
      </c>
      <c r="H33" s="6" t="s">
        <v>289</v>
      </c>
      <c r="I33" s="6" t="s">
        <v>290</v>
      </c>
      <c r="J33" s="6" t="s">
        <v>337</v>
      </c>
      <c r="K33" s="6" t="s">
        <v>338</v>
      </c>
      <c r="L33" s="6" t="s">
        <v>339</v>
      </c>
      <c r="M33" s="6" t="s">
        <v>340</v>
      </c>
      <c r="N33" s="6" t="s">
        <v>59</v>
      </c>
      <c r="O33" s="6" t="s">
        <v>59</v>
      </c>
      <c r="P33" s="10"/>
      <c r="Q33" s="10"/>
      <c r="R33" s="10"/>
      <c r="S33" s="10"/>
      <c r="T33" s="11"/>
      <c r="U33" s="9" t="str">
        <f aca="false">IF(T33="","",1-T33)</f>
        <v/>
      </c>
      <c r="V33" s="6" t="str">
        <f aca="false">IF(P33="","",IF(Q33="No","No AI in current tool: consider add-on or API-based option",IF(T33="","Estimate how much the tool covers",IF(T33&gt;=Lookups!$B$26,IF(AND(R33="Yes",S33="Yes"),"Covered: keep and monitor","Switch on and train people on the existing feature"),"Partial: configure the tool, then fill the gap"))))</f>
        <v/>
      </c>
      <c r="W33" s="6"/>
    </row>
    <row r="34" customFormat="false" ht="25.5" hidden="false" customHeight="true" outlineLevel="0" collapsed="false">
      <c r="A34" s="6" t="s">
        <v>341</v>
      </c>
      <c r="B34" s="6" t="s">
        <v>285</v>
      </c>
      <c r="C34" s="6" t="s">
        <v>324</v>
      </c>
      <c r="D34" s="6" t="s">
        <v>297</v>
      </c>
      <c r="E34" s="6" t="s">
        <v>342</v>
      </c>
      <c r="F34" s="6" t="s">
        <v>343</v>
      </c>
      <c r="G34" s="6" t="s">
        <v>344</v>
      </c>
      <c r="H34" s="6" t="s">
        <v>301</v>
      </c>
      <c r="I34" s="6" t="s">
        <v>302</v>
      </c>
      <c r="J34" s="6" t="s">
        <v>345</v>
      </c>
      <c r="K34" s="6" t="s">
        <v>346</v>
      </c>
      <c r="L34" s="6" t="s">
        <v>347</v>
      </c>
      <c r="M34" s="6" t="s">
        <v>348</v>
      </c>
      <c r="N34" s="6" t="s">
        <v>70</v>
      </c>
      <c r="O34" s="6" t="s">
        <v>70</v>
      </c>
      <c r="P34" s="10"/>
      <c r="Q34" s="10"/>
      <c r="R34" s="10"/>
      <c r="S34" s="10"/>
      <c r="T34" s="11"/>
      <c r="U34" s="9" t="str">
        <f aca="false">IF(T34="","",1-T34)</f>
        <v/>
      </c>
      <c r="V34" s="6" t="str">
        <f aca="false">IF(P34="","",IF(Q34="No","No AI in current tool: consider add-on or API-based option",IF(T34="","Estimate how much the tool covers",IF(T34&gt;=Lookups!$B$26,IF(AND(R34="Yes",S34="Yes"),"Covered: keep and monitor","Switch on and train people on the existing feature"),"Partial: configure the tool, then fill the gap"))))</f>
        <v/>
      </c>
      <c r="W34" s="6"/>
    </row>
    <row r="35" customFormat="false" ht="25.5" hidden="false" customHeight="true" outlineLevel="0" collapsed="false">
      <c r="A35" s="6" t="s">
        <v>349</v>
      </c>
      <c r="B35" s="6" t="s">
        <v>130</v>
      </c>
      <c r="C35" s="6" t="s">
        <v>324</v>
      </c>
      <c r="D35" s="6" t="s">
        <v>325</v>
      </c>
      <c r="E35" s="6" t="s">
        <v>350</v>
      </c>
      <c r="F35" s="6" t="s">
        <v>351</v>
      </c>
      <c r="G35" s="6" t="s">
        <v>352</v>
      </c>
      <c r="H35" s="6" t="s">
        <v>38</v>
      </c>
      <c r="I35" s="6" t="s">
        <v>76</v>
      </c>
      <c r="J35" s="6" t="s">
        <v>353</v>
      </c>
      <c r="K35" s="6" t="s">
        <v>354</v>
      </c>
      <c r="L35" s="6" t="s">
        <v>355</v>
      </c>
      <c r="M35" s="6" t="s">
        <v>356</v>
      </c>
      <c r="N35" s="6" t="s">
        <v>70</v>
      </c>
      <c r="O35" s="6" t="s">
        <v>70</v>
      </c>
      <c r="P35" s="10"/>
      <c r="Q35" s="10"/>
      <c r="R35" s="10"/>
      <c r="S35" s="10"/>
      <c r="T35" s="11"/>
      <c r="U35" s="9" t="str">
        <f aca="false">IF(T35="","",1-T35)</f>
        <v/>
      </c>
      <c r="V35" s="6" t="str">
        <f aca="false">IF(P35="","",IF(Q35="No","No AI in current tool: consider add-on or API-based option",IF(T35="","Estimate how much the tool covers",IF(T35&gt;=Lookups!$B$26,IF(AND(R35="Yes",S35="Yes"),"Covered: keep and monitor","Switch on and train people on the existing feature"),"Partial: configure the tool, then fill the gap"))))</f>
        <v/>
      </c>
      <c r="W35" s="6"/>
    </row>
    <row r="36" customFormat="false" ht="25.5" hidden="false" customHeight="true" outlineLevel="0" collapsed="false">
      <c r="A36" s="6" t="s">
        <v>357</v>
      </c>
      <c r="B36" s="6" t="s">
        <v>130</v>
      </c>
      <c r="C36" s="6" t="s">
        <v>358</v>
      </c>
      <c r="D36" s="6" t="s">
        <v>359</v>
      </c>
      <c r="E36" s="6" t="s">
        <v>360</v>
      </c>
      <c r="F36" s="6" t="s">
        <v>361</v>
      </c>
      <c r="G36" s="6" t="s">
        <v>362</v>
      </c>
      <c r="H36" s="6" t="s">
        <v>170</v>
      </c>
      <c r="I36" s="6" t="s">
        <v>39</v>
      </c>
      <c r="J36" s="6" t="s">
        <v>363</v>
      </c>
      <c r="K36" s="6" t="s">
        <v>364</v>
      </c>
      <c r="L36" s="6" t="s">
        <v>365</v>
      </c>
      <c r="M36" s="6" t="s">
        <v>366</v>
      </c>
      <c r="N36" s="6" t="s">
        <v>70</v>
      </c>
      <c r="O36" s="6" t="s">
        <v>59</v>
      </c>
      <c r="P36" s="10"/>
      <c r="Q36" s="10"/>
      <c r="R36" s="10"/>
      <c r="S36" s="10"/>
      <c r="T36" s="11"/>
      <c r="U36" s="9" t="str">
        <f aca="false">IF(T36="","",1-T36)</f>
        <v/>
      </c>
      <c r="V36" s="6" t="str">
        <f aca="false">IF(P36="","",IF(Q36="No","No AI in current tool: consider add-on or API-based option",IF(T36="","Estimate how much the tool covers",IF(T36&gt;=Lookups!$B$26,IF(AND(R36="Yes",S36="Yes"),"Covered: keep and monitor","Switch on and train people on the existing feature"),"Partial: configure the tool, then fill the gap"))))</f>
        <v/>
      </c>
      <c r="W36" s="6"/>
    </row>
    <row r="37" customFormat="false" ht="25.5" hidden="false" customHeight="true" outlineLevel="0" collapsed="false">
      <c r="A37" s="6" t="s">
        <v>367</v>
      </c>
      <c r="B37" s="6" t="s">
        <v>101</v>
      </c>
      <c r="C37" s="6" t="s">
        <v>358</v>
      </c>
      <c r="D37" s="6" t="s">
        <v>112</v>
      </c>
      <c r="E37" s="6" t="s">
        <v>368</v>
      </c>
      <c r="F37" s="6" t="s">
        <v>369</v>
      </c>
      <c r="G37" s="6" t="s">
        <v>370</v>
      </c>
      <c r="H37" s="6" t="s">
        <v>65</v>
      </c>
      <c r="I37" s="6" t="s">
        <v>106</v>
      </c>
      <c r="J37" s="6" t="s">
        <v>371</v>
      </c>
      <c r="K37" s="6" t="s">
        <v>372</v>
      </c>
      <c r="L37" s="6" t="s">
        <v>373</v>
      </c>
      <c r="M37" s="6" t="s">
        <v>374</v>
      </c>
      <c r="N37" s="6" t="s">
        <v>70</v>
      </c>
      <c r="O37" s="6" t="s">
        <v>70</v>
      </c>
      <c r="P37" s="10"/>
      <c r="Q37" s="10"/>
      <c r="R37" s="10"/>
      <c r="S37" s="10"/>
      <c r="T37" s="11"/>
      <c r="U37" s="9" t="str">
        <f aca="false">IF(T37="","",1-T37)</f>
        <v/>
      </c>
      <c r="V37" s="6" t="str">
        <f aca="false">IF(P37="","",IF(Q37="No","No AI in current tool: consider add-on or API-based option",IF(T37="","Estimate how much the tool covers",IF(T37&gt;=Lookups!$B$26,IF(AND(R37="Yes",S37="Yes"),"Covered: keep and monitor","Switch on and train people on the existing feature"),"Partial: configure the tool, then fill the gap"))))</f>
        <v/>
      </c>
      <c r="W37" s="6"/>
    </row>
    <row r="38" customFormat="false" ht="25.5" hidden="false" customHeight="true" outlineLevel="0" collapsed="false">
      <c r="A38" s="6" t="s">
        <v>375</v>
      </c>
      <c r="B38" s="6" t="s">
        <v>72</v>
      </c>
      <c r="C38" s="6" t="s">
        <v>376</v>
      </c>
      <c r="D38" s="6" t="s">
        <v>377</v>
      </c>
      <c r="E38" s="6" t="s">
        <v>378</v>
      </c>
      <c r="F38" s="6" t="s">
        <v>379</v>
      </c>
      <c r="G38" s="6" t="s">
        <v>380</v>
      </c>
      <c r="H38" s="6" t="s">
        <v>38</v>
      </c>
      <c r="I38" s="6" t="s">
        <v>134</v>
      </c>
      <c r="J38" s="6" t="s">
        <v>381</v>
      </c>
      <c r="K38" s="6" t="s">
        <v>382</v>
      </c>
      <c r="L38" s="6" t="s">
        <v>383</v>
      </c>
      <c r="M38" s="6" t="s">
        <v>384</v>
      </c>
      <c r="N38" s="6" t="s">
        <v>59</v>
      </c>
      <c r="O38" s="6" t="s">
        <v>70</v>
      </c>
      <c r="P38" s="10"/>
      <c r="Q38" s="10"/>
      <c r="R38" s="10"/>
      <c r="S38" s="10"/>
      <c r="T38" s="11"/>
      <c r="U38" s="9" t="str">
        <f aca="false">IF(T38="","",1-T38)</f>
        <v/>
      </c>
      <c r="V38" s="6" t="str">
        <f aca="false">IF(P38="","",IF(Q38="No","No AI in current tool: consider add-on or API-based option",IF(T38="","Estimate how much the tool covers",IF(T38&gt;=Lookups!$B$26,IF(AND(R38="Yes",S38="Yes"),"Covered: keep and monitor","Switch on and train people on the existing feature"),"Partial: configure the tool, then fill the gap"))))</f>
        <v/>
      </c>
      <c r="W38" s="6"/>
    </row>
    <row r="39" customFormat="false" ht="25.5" hidden="false" customHeight="true" outlineLevel="0" collapsed="false">
      <c r="A39" s="6" t="s">
        <v>385</v>
      </c>
      <c r="B39" s="6" t="s">
        <v>101</v>
      </c>
      <c r="C39" s="6" t="s">
        <v>376</v>
      </c>
      <c r="D39" s="6" t="s">
        <v>91</v>
      </c>
      <c r="E39" s="6" t="s">
        <v>386</v>
      </c>
      <c r="F39" s="6" t="s">
        <v>387</v>
      </c>
      <c r="G39" s="6" t="s">
        <v>388</v>
      </c>
      <c r="H39" s="6" t="s">
        <v>95</v>
      </c>
      <c r="I39" s="6" t="s">
        <v>39</v>
      </c>
      <c r="J39" s="6" t="s">
        <v>389</v>
      </c>
      <c r="K39" s="6" t="s">
        <v>390</v>
      </c>
      <c r="L39" s="6" t="s">
        <v>391</v>
      </c>
      <c r="M39" s="6" t="s">
        <v>392</v>
      </c>
      <c r="N39" s="6" t="s">
        <v>59</v>
      </c>
      <c r="O39" s="6" t="s">
        <v>45</v>
      </c>
      <c r="P39" s="10"/>
      <c r="Q39" s="10"/>
      <c r="R39" s="10"/>
      <c r="S39" s="10"/>
      <c r="T39" s="11"/>
      <c r="U39" s="9" t="str">
        <f aca="false">IF(T39="","",1-T39)</f>
        <v/>
      </c>
      <c r="V39" s="6" t="str">
        <f aca="false">IF(P39="","",IF(Q39="No","No AI in current tool: consider add-on or API-based option",IF(T39="","Estimate how much the tool covers",IF(T39&gt;=Lookups!$B$26,IF(AND(R39="Yes",S39="Yes"),"Covered: keep and monitor","Switch on and train people on the existing feature"),"Partial: configure the tool, then fill the gap"))))</f>
        <v/>
      </c>
      <c r="W39" s="6"/>
    </row>
    <row r="40" customFormat="false" ht="25.5" hidden="false" customHeight="true" outlineLevel="0" collapsed="false">
      <c r="A40" s="6" t="s">
        <v>393</v>
      </c>
      <c r="B40" s="6" t="s">
        <v>101</v>
      </c>
      <c r="C40" s="6" t="s">
        <v>394</v>
      </c>
      <c r="D40" s="6" t="s">
        <v>61</v>
      </c>
      <c r="E40" s="6" t="s">
        <v>395</v>
      </c>
      <c r="F40" s="6" t="s">
        <v>396</v>
      </c>
      <c r="G40" s="6" t="s">
        <v>397</v>
      </c>
      <c r="H40" s="6" t="s">
        <v>65</v>
      </c>
      <c r="I40" s="6" t="s">
        <v>106</v>
      </c>
      <c r="J40" s="6" t="s">
        <v>398</v>
      </c>
      <c r="K40" s="6" t="s">
        <v>399</v>
      </c>
      <c r="L40" s="6" t="s">
        <v>400</v>
      </c>
      <c r="M40" s="6" t="s">
        <v>401</v>
      </c>
      <c r="N40" s="6" t="s">
        <v>59</v>
      </c>
      <c r="O40" s="6" t="s">
        <v>70</v>
      </c>
      <c r="P40" s="10"/>
      <c r="Q40" s="10"/>
      <c r="R40" s="10"/>
      <c r="S40" s="10"/>
      <c r="T40" s="11"/>
      <c r="U40" s="9" t="str">
        <f aca="false">IF(T40="","",1-T40)</f>
        <v/>
      </c>
      <c r="V40" s="6" t="str">
        <f aca="false">IF(P40="","",IF(Q40="No","No AI in current tool: consider add-on or API-based option",IF(T40="","Estimate how much the tool covers",IF(T40&gt;=Lookups!$B$26,IF(AND(R40="Yes",S40="Yes"),"Covered: keep and monitor","Switch on and train people on the existing feature"),"Partial: configure the tool, then fill the gap"))))</f>
        <v/>
      </c>
      <c r="W40" s="6"/>
    </row>
    <row r="41" customFormat="false" ht="25.5" hidden="false" customHeight="true" outlineLevel="0" collapsed="false">
      <c r="A41" s="6" t="s">
        <v>402</v>
      </c>
      <c r="B41" s="6" t="s">
        <v>101</v>
      </c>
      <c r="C41" s="6" t="s">
        <v>394</v>
      </c>
      <c r="D41" s="6" t="s">
        <v>112</v>
      </c>
      <c r="E41" s="6" t="s">
        <v>403</v>
      </c>
      <c r="F41" s="6" t="s">
        <v>404</v>
      </c>
      <c r="G41" s="6" t="s">
        <v>405</v>
      </c>
      <c r="H41" s="6" t="s">
        <v>105</v>
      </c>
      <c r="I41" s="6" t="s">
        <v>106</v>
      </c>
      <c r="J41" s="6" t="s">
        <v>406</v>
      </c>
      <c r="K41" s="6" t="s">
        <v>407</v>
      </c>
      <c r="L41" s="6" t="s">
        <v>408</v>
      </c>
      <c r="M41" s="6" t="s">
        <v>409</v>
      </c>
      <c r="N41" s="6" t="s">
        <v>70</v>
      </c>
      <c r="O41" s="6" t="s">
        <v>59</v>
      </c>
      <c r="P41" s="10"/>
      <c r="Q41" s="10"/>
      <c r="R41" s="10"/>
      <c r="S41" s="10"/>
      <c r="T41" s="11"/>
      <c r="U41" s="9" t="str">
        <f aca="false">IF(T41="","",1-T41)</f>
        <v/>
      </c>
      <c r="V41" s="6" t="str">
        <f aca="false">IF(P41="","",IF(Q41="No","No AI in current tool: consider add-on or API-based option",IF(T41="","Estimate how much the tool covers",IF(T41&gt;=Lookups!$B$26,IF(AND(R41="Yes",S41="Yes"),"Covered: keep and monitor","Switch on and train people on the existing feature"),"Partial: configure the tool, then fill the gap"))))</f>
        <v/>
      </c>
      <c r="W41" s="6"/>
    </row>
    <row r="42" customFormat="false" ht="25.5" hidden="false" customHeight="true" outlineLevel="0" collapsed="false">
      <c r="A42" s="6" t="s">
        <v>410</v>
      </c>
      <c r="B42" s="6" t="s">
        <v>101</v>
      </c>
      <c r="C42" s="6" t="s">
        <v>411</v>
      </c>
      <c r="D42" s="6" t="s">
        <v>297</v>
      </c>
      <c r="E42" s="6" t="s">
        <v>412</v>
      </c>
      <c r="F42" s="6" t="s">
        <v>413</v>
      </c>
      <c r="G42" s="6" t="s">
        <v>414</v>
      </c>
      <c r="H42" s="6" t="s">
        <v>65</v>
      </c>
      <c r="I42" s="6" t="s">
        <v>106</v>
      </c>
      <c r="J42" s="6" t="s">
        <v>415</v>
      </c>
      <c r="K42" s="6" t="s">
        <v>416</v>
      </c>
      <c r="L42" s="6" t="s">
        <v>417</v>
      </c>
      <c r="M42" s="6" t="s">
        <v>418</v>
      </c>
      <c r="N42" s="6" t="s">
        <v>59</v>
      </c>
      <c r="O42" s="6" t="s">
        <v>70</v>
      </c>
      <c r="P42" s="10"/>
      <c r="Q42" s="10"/>
      <c r="R42" s="10"/>
      <c r="S42" s="10"/>
      <c r="T42" s="11"/>
      <c r="U42" s="9" t="str">
        <f aca="false">IF(T42="","",1-T42)</f>
        <v/>
      </c>
      <c r="V42" s="6" t="str">
        <f aca="false">IF(P42="","",IF(Q42="No","No AI in current tool: consider add-on or API-based option",IF(T42="","Estimate how much the tool covers",IF(T42&gt;=Lookups!$B$26,IF(AND(R42="Yes",S42="Yes"),"Covered: keep and monitor","Switch on and train people on the existing feature"),"Partial: configure the tool, then fill the gap"))))</f>
        <v/>
      </c>
      <c r="W42" s="6"/>
    </row>
    <row r="43" customFormat="false" ht="25.5" hidden="false" customHeight="true" outlineLevel="0" collapsed="false">
      <c r="A43" s="6" t="s">
        <v>419</v>
      </c>
      <c r="B43" s="6" t="s">
        <v>285</v>
      </c>
      <c r="C43" s="6" t="s">
        <v>411</v>
      </c>
      <c r="D43" s="6" t="s">
        <v>325</v>
      </c>
      <c r="E43" s="6" t="s">
        <v>420</v>
      </c>
      <c r="F43" s="6" t="s">
        <v>421</v>
      </c>
      <c r="G43" s="6" t="s">
        <v>422</v>
      </c>
      <c r="H43" s="6" t="s">
        <v>289</v>
      </c>
      <c r="I43" s="6" t="s">
        <v>290</v>
      </c>
      <c r="J43" s="6" t="s">
        <v>423</v>
      </c>
      <c r="K43" s="6" t="s">
        <v>424</v>
      </c>
      <c r="L43" s="6" t="s">
        <v>425</v>
      </c>
      <c r="M43" s="6" t="s">
        <v>426</v>
      </c>
      <c r="N43" s="6" t="s">
        <v>70</v>
      </c>
      <c r="O43" s="6" t="s">
        <v>59</v>
      </c>
      <c r="P43" s="10"/>
      <c r="Q43" s="10"/>
      <c r="R43" s="10"/>
      <c r="S43" s="10"/>
      <c r="T43" s="11"/>
      <c r="U43" s="9" t="str">
        <f aca="false">IF(T43="","",1-T43)</f>
        <v/>
      </c>
      <c r="V43" s="6" t="str">
        <f aca="false">IF(P43="","",IF(Q43="No","No AI in current tool: consider add-on or API-based option",IF(T43="","Estimate how much the tool covers",IF(T43&gt;=Lookups!$B$26,IF(AND(R43="Yes",S43="Yes"),"Covered: keep and monitor","Switch on and train people on the existing feature"),"Partial: configure the tool, then fill the gap"))))</f>
        <v/>
      </c>
      <c r="W43" s="6"/>
    </row>
    <row r="44" customFormat="false" ht="25.5" hidden="false" customHeight="true" outlineLevel="0" collapsed="false">
      <c r="A44" s="6" t="s">
        <v>427</v>
      </c>
      <c r="B44" s="6" t="s">
        <v>285</v>
      </c>
      <c r="C44" s="6" t="s">
        <v>428</v>
      </c>
      <c r="D44" s="6" t="s">
        <v>112</v>
      </c>
      <c r="E44" s="6" t="s">
        <v>429</v>
      </c>
      <c r="F44" s="6" t="s">
        <v>430</v>
      </c>
      <c r="G44" s="6" t="s">
        <v>431</v>
      </c>
      <c r="H44" s="6" t="s">
        <v>289</v>
      </c>
      <c r="I44" s="6" t="s">
        <v>39</v>
      </c>
      <c r="J44" s="6" t="s">
        <v>432</v>
      </c>
      <c r="K44" s="6" t="s">
        <v>433</v>
      </c>
      <c r="L44" s="6" t="s">
        <v>434</v>
      </c>
      <c r="M44" s="6" t="s">
        <v>435</v>
      </c>
      <c r="N44" s="6" t="s">
        <v>70</v>
      </c>
      <c r="O44" s="6" t="s">
        <v>70</v>
      </c>
      <c r="P44" s="10"/>
      <c r="Q44" s="10"/>
      <c r="R44" s="10"/>
      <c r="S44" s="10"/>
      <c r="T44" s="11"/>
      <c r="U44" s="9" t="str">
        <f aca="false">IF(T44="","",1-T44)</f>
        <v/>
      </c>
      <c r="V44" s="6" t="str">
        <f aca="false">IF(P44="","",IF(Q44="No","No AI in current tool: consider add-on or API-based option",IF(T44="","Estimate how much the tool covers",IF(T44&gt;=Lookups!$B$26,IF(AND(R44="Yes",S44="Yes"),"Covered: keep and monitor","Switch on and train people on the existing feature"),"Partial: configure the tool, then fill the gap"))))</f>
        <v/>
      </c>
      <c r="W44" s="6"/>
    </row>
    <row r="45" customFormat="false" ht="25.5" hidden="false" customHeight="true" outlineLevel="0" collapsed="false">
      <c r="A45" s="6" t="s">
        <v>436</v>
      </c>
      <c r="B45" s="6" t="s">
        <v>32</v>
      </c>
      <c r="C45" s="6" t="s">
        <v>437</v>
      </c>
      <c r="D45" s="6" t="s">
        <v>34</v>
      </c>
      <c r="E45" s="6" t="s">
        <v>438</v>
      </c>
      <c r="F45" s="6" t="s">
        <v>439</v>
      </c>
      <c r="G45" s="6" t="s">
        <v>440</v>
      </c>
      <c r="H45" s="6" t="s">
        <v>38</v>
      </c>
      <c r="I45" s="6" t="s">
        <v>76</v>
      </c>
      <c r="J45" s="6" t="s">
        <v>441</v>
      </c>
      <c r="K45" s="6" t="s">
        <v>442</v>
      </c>
      <c r="L45" s="6" t="s">
        <v>443</v>
      </c>
      <c r="M45" s="6" t="s">
        <v>444</v>
      </c>
      <c r="N45" s="6" t="s">
        <v>70</v>
      </c>
      <c r="O45" s="6" t="s">
        <v>45</v>
      </c>
      <c r="P45" s="10"/>
      <c r="Q45" s="10"/>
      <c r="R45" s="10"/>
      <c r="S45" s="10"/>
      <c r="T45" s="11"/>
      <c r="U45" s="9" t="str">
        <f aca="false">IF(T45="","",1-T45)</f>
        <v/>
      </c>
      <c r="V45" s="6" t="str">
        <f aca="false">IF(P45="","",IF(Q45="No","No AI in current tool: consider add-on or API-based option",IF(T45="","Estimate how much the tool covers",IF(T45&gt;=Lookups!$B$26,IF(AND(R45="Yes",S45="Yes"),"Covered: keep and monitor","Switch on and train people on the existing feature"),"Partial: configure the tool, then fill the gap"))))</f>
        <v/>
      </c>
      <c r="W45" s="6"/>
    </row>
    <row r="46" customFormat="false" ht="25.5" hidden="false" customHeight="true" outlineLevel="0" collapsed="false">
      <c r="A46" s="6" t="s">
        <v>445</v>
      </c>
      <c r="B46" s="6" t="s">
        <v>130</v>
      </c>
      <c r="C46" s="6" t="s">
        <v>437</v>
      </c>
      <c r="D46" s="6" t="s">
        <v>377</v>
      </c>
      <c r="E46" s="6" t="s">
        <v>446</v>
      </c>
      <c r="F46" s="6" t="s">
        <v>447</v>
      </c>
      <c r="G46" s="6" t="s">
        <v>448</v>
      </c>
      <c r="H46" s="6" t="s">
        <v>54</v>
      </c>
      <c r="I46" s="6" t="s">
        <v>85</v>
      </c>
      <c r="J46" s="6" t="s">
        <v>449</v>
      </c>
      <c r="K46" s="6" t="s">
        <v>450</v>
      </c>
      <c r="L46" s="6" t="s">
        <v>451</v>
      </c>
      <c r="M46" s="6" t="s">
        <v>452</v>
      </c>
      <c r="N46" s="6" t="s">
        <v>70</v>
      </c>
      <c r="O46" s="6" t="s">
        <v>70</v>
      </c>
      <c r="P46" s="10"/>
      <c r="Q46" s="10"/>
      <c r="R46" s="10"/>
      <c r="S46" s="10"/>
      <c r="T46" s="11"/>
      <c r="U46" s="9" t="str">
        <f aca="false">IF(T46="","",1-T46)</f>
        <v/>
      </c>
      <c r="V46" s="6" t="str">
        <f aca="false">IF(P46="","",IF(Q46="No","No AI in current tool: consider add-on or API-based option",IF(T46="","Estimate how much the tool covers",IF(T46&gt;=Lookups!$B$26,IF(AND(R46="Yes",S46="Yes"),"Covered: keep and monitor","Switch on and train people on the existing feature"),"Partial: configure the tool, then fill the gap"))))</f>
        <v/>
      </c>
      <c r="W46" s="6"/>
    </row>
    <row r="47" customFormat="false" ht="25.5" hidden="false" customHeight="true" outlineLevel="0" collapsed="false">
      <c r="A47" s="6" t="s">
        <v>453</v>
      </c>
      <c r="B47" s="6" t="s">
        <v>32</v>
      </c>
      <c r="C47" s="6" t="s">
        <v>454</v>
      </c>
      <c r="D47" s="6" t="s">
        <v>34</v>
      </c>
      <c r="E47" s="6" t="s">
        <v>455</v>
      </c>
      <c r="F47" s="6" t="s">
        <v>456</v>
      </c>
      <c r="G47" s="6" t="s">
        <v>457</v>
      </c>
      <c r="H47" s="6" t="s">
        <v>38</v>
      </c>
      <c r="I47" s="6" t="s">
        <v>76</v>
      </c>
      <c r="J47" s="6" t="s">
        <v>458</v>
      </c>
      <c r="K47" s="6" t="s">
        <v>459</v>
      </c>
      <c r="L47" s="6" t="s">
        <v>460</v>
      </c>
      <c r="M47" s="6" t="s">
        <v>461</v>
      </c>
      <c r="N47" s="6" t="s">
        <v>59</v>
      </c>
      <c r="O47" s="6" t="s">
        <v>70</v>
      </c>
      <c r="P47" s="10"/>
      <c r="Q47" s="10"/>
      <c r="R47" s="10"/>
      <c r="S47" s="10"/>
      <c r="T47" s="11"/>
      <c r="U47" s="9" t="str">
        <f aca="false">IF(T47="","",1-T47)</f>
        <v/>
      </c>
      <c r="V47" s="6" t="str">
        <f aca="false">IF(P47="","",IF(Q47="No","No AI in current tool: consider add-on or API-based option",IF(T47="","Estimate how much the tool covers",IF(T47&gt;=Lookups!$B$26,IF(AND(R47="Yes",S47="Yes"),"Covered: keep and monitor","Switch on and train people on the existing feature"),"Partial: configure the tool, then fill the gap"))))</f>
        <v/>
      </c>
      <c r="W47" s="6"/>
    </row>
    <row r="48" customFormat="false" ht="25.5" hidden="false" customHeight="true" outlineLevel="0" collapsed="false">
      <c r="A48" s="6" t="s">
        <v>462</v>
      </c>
      <c r="B48" s="6" t="s">
        <v>72</v>
      </c>
      <c r="C48" s="6" t="s">
        <v>454</v>
      </c>
      <c r="D48" s="6" t="s">
        <v>194</v>
      </c>
      <c r="E48" s="6" t="s">
        <v>463</v>
      </c>
      <c r="F48" s="6" t="s">
        <v>464</v>
      </c>
      <c r="G48" s="6" t="s">
        <v>465</v>
      </c>
      <c r="H48" s="6" t="s">
        <v>95</v>
      </c>
      <c r="I48" s="6" t="s">
        <v>134</v>
      </c>
      <c r="J48" s="6" t="s">
        <v>466</v>
      </c>
      <c r="K48" s="6" t="s">
        <v>467</v>
      </c>
      <c r="L48" s="6" t="s">
        <v>468</v>
      </c>
      <c r="M48" s="6" t="s">
        <v>469</v>
      </c>
      <c r="N48" s="6" t="s">
        <v>59</v>
      </c>
      <c r="O48" s="6" t="s">
        <v>70</v>
      </c>
      <c r="P48" s="10"/>
      <c r="Q48" s="10"/>
      <c r="R48" s="10"/>
      <c r="S48" s="10"/>
      <c r="T48" s="11"/>
      <c r="U48" s="9" t="str">
        <f aca="false">IF(T48="","",1-T48)</f>
        <v/>
      </c>
      <c r="V48" s="6" t="str">
        <f aca="false">IF(P48="","",IF(Q48="No","No AI in current tool: consider add-on or API-based option",IF(T48="","Estimate how much the tool covers",IF(T48&gt;=Lookups!$B$26,IF(AND(R48="Yes",S48="Yes"),"Covered: keep and monitor","Switch on and train people on the existing feature"),"Partial: configure the tool, then fill the gap"))))</f>
        <v/>
      </c>
      <c r="W48" s="6"/>
    </row>
    <row r="49" customFormat="false" ht="25.5" hidden="false" customHeight="true" outlineLevel="0" collapsed="false">
      <c r="A49" s="6" t="s">
        <v>470</v>
      </c>
      <c r="B49" s="6" t="s">
        <v>101</v>
      </c>
      <c r="C49" s="6" t="s">
        <v>471</v>
      </c>
      <c r="D49" s="6" t="s">
        <v>61</v>
      </c>
      <c r="E49" s="6" t="s">
        <v>472</v>
      </c>
      <c r="F49" s="6" t="s">
        <v>473</v>
      </c>
      <c r="G49" s="6" t="s">
        <v>474</v>
      </c>
      <c r="H49" s="6" t="s">
        <v>65</v>
      </c>
      <c r="I49" s="6" t="s">
        <v>39</v>
      </c>
      <c r="J49" s="6" t="s">
        <v>475</v>
      </c>
      <c r="K49" s="6" t="s">
        <v>476</v>
      </c>
      <c r="L49" s="6" t="s">
        <v>477</v>
      </c>
      <c r="M49" s="6" t="s">
        <v>478</v>
      </c>
      <c r="N49" s="6" t="s">
        <v>70</v>
      </c>
      <c r="O49" s="6" t="s">
        <v>70</v>
      </c>
      <c r="P49" s="10"/>
      <c r="Q49" s="10"/>
      <c r="R49" s="10"/>
      <c r="S49" s="10"/>
      <c r="T49" s="11"/>
      <c r="U49" s="9" t="str">
        <f aca="false">IF(T49="","",1-T49)</f>
        <v/>
      </c>
      <c r="V49" s="6" t="str">
        <f aca="false">IF(P49="","",IF(Q49="No","No AI in current tool: consider add-on or API-based option",IF(T49="","Estimate how much the tool covers",IF(T49&gt;=Lookups!$B$26,IF(AND(R49="Yes",S49="Yes"),"Covered: keep and monitor","Switch on and train people on the existing feature"),"Partial: configure the tool, then fill the gap"))))</f>
        <v/>
      </c>
      <c r="W49" s="6"/>
    </row>
    <row r="50" customFormat="false" ht="25.5" hidden="false" customHeight="true" outlineLevel="0" collapsed="false">
      <c r="A50" s="6" t="s">
        <v>479</v>
      </c>
      <c r="B50" s="6" t="s">
        <v>32</v>
      </c>
      <c r="C50" s="6" t="s">
        <v>471</v>
      </c>
      <c r="D50" s="6" t="s">
        <v>34</v>
      </c>
      <c r="E50" s="6" t="s">
        <v>480</v>
      </c>
      <c r="F50" s="6" t="s">
        <v>481</v>
      </c>
      <c r="G50" s="6" t="s">
        <v>482</v>
      </c>
      <c r="H50" s="6" t="s">
        <v>38</v>
      </c>
      <c r="I50" s="6" t="s">
        <v>39</v>
      </c>
      <c r="J50" s="6" t="s">
        <v>483</v>
      </c>
      <c r="K50" s="6" t="s">
        <v>484</v>
      </c>
      <c r="L50" s="6" t="s">
        <v>485</v>
      </c>
      <c r="M50" s="6" t="s">
        <v>486</v>
      </c>
      <c r="N50" s="6" t="s">
        <v>70</v>
      </c>
      <c r="O50" s="6" t="s">
        <v>45</v>
      </c>
      <c r="P50" s="10"/>
      <c r="Q50" s="10"/>
      <c r="R50" s="10"/>
      <c r="S50" s="10"/>
      <c r="T50" s="11"/>
      <c r="U50" s="9" t="str">
        <f aca="false">IF(T50="","",1-T50)</f>
        <v/>
      </c>
      <c r="V50" s="6" t="str">
        <f aca="false">IF(P50="","",IF(Q50="No","No AI in current tool: consider add-on or API-based option",IF(T50="","Estimate how much the tool covers",IF(T50&gt;=Lookups!$B$26,IF(AND(R50="Yes",S50="Yes"),"Covered: keep and monitor","Switch on and train people on the existing feature"),"Partial: configure the tool, then fill the gap"))))</f>
        <v/>
      </c>
      <c r="W50" s="6"/>
    </row>
    <row r="51" customFormat="false" ht="25.5" hidden="false" customHeight="true" outlineLevel="0" collapsed="false">
      <c r="A51" s="6" t="s">
        <v>487</v>
      </c>
      <c r="B51" s="6" t="s">
        <v>72</v>
      </c>
      <c r="C51" s="6" t="s">
        <v>488</v>
      </c>
      <c r="D51" s="6" t="s">
        <v>112</v>
      </c>
      <c r="E51" s="6" t="s">
        <v>489</v>
      </c>
      <c r="F51" s="6" t="s">
        <v>490</v>
      </c>
      <c r="G51" s="6" t="s">
        <v>491</v>
      </c>
      <c r="H51" s="6" t="s">
        <v>244</v>
      </c>
      <c r="I51" s="6" t="s">
        <v>134</v>
      </c>
      <c r="J51" s="6" t="s">
        <v>492</v>
      </c>
      <c r="K51" s="6" t="s">
        <v>493</v>
      </c>
      <c r="L51" s="6" t="s">
        <v>494</v>
      </c>
      <c r="M51" s="6" t="s">
        <v>495</v>
      </c>
      <c r="N51" s="6" t="s">
        <v>70</v>
      </c>
      <c r="O51" s="6" t="s">
        <v>70</v>
      </c>
      <c r="P51" s="10"/>
      <c r="Q51" s="10"/>
      <c r="R51" s="10"/>
      <c r="S51" s="10"/>
      <c r="T51" s="11"/>
      <c r="U51" s="9" t="str">
        <f aca="false">IF(T51="","",1-T51)</f>
        <v/>
      </c>
      <c r="V51" s="6" t="str">
        <f aca="false">IF(P51="","",IF(Q51="No","No AI in current tool: consider add-on or API-based option",IF(T51="","Estimate how much the tool covers",IF(T51&gt;=Lookups!$B$26,IF(AND(R51="Yes",S51="Yes"),"Covered: keep and monitor","Switch on and train people on the existing feature"),"Partial: configure the tool, then fill the gap"))))</f>
        <v/>
      </c>
      <c r="W51" s="6"/>
    </row>
    <row r="52" customFormat="false" ht="25.5" hidden="false" customHeight="true" outlineLevel="0" collapsed="false">
      <c r="A52" s="6" t="s">
        <v>496</v>
      </c>
      <c r="B52" s="6" t="s">
        <v>101</v>
      </c>
      <c r="C52" s="6" t="s">
        <v>488</v>
      </c>
      <c r="D52" s="6" t="s">
        <v>61</v>
      </c>
      <c r="E52" s="6" t="s">
        <v>497</v>
      </c>
      <c r="F52" s="6" t="s">
        <v>498</v>
      </c>
      <c r="G52" s="6" t="s">
        <v>499</v>
      </c>
      <c r="H52" s="6" t="s">
        <v>65</v>
      </c>
      <c r="I52" s="6" t="s">
        <v>106</v>
      </c>
      <c r="J52" s="6" t="s">
        <v>500</v>
      </c>
      <c r="K52" s="6" t="s">
        <v>501</v>
      </c>
      <c r="L52" s="6" t="s">
        <v>502</v>
      </c>
      <c r="M52" s="6" t="s">
        <v>503</v>
      </c>
      <c r="N52" s="6" t="s">
        <v>70</v>
      </c>
      <c r="O52" s="6" t="s">
        <v>70</v>
      </c>
      <c r="P52" s="10"/>
      <c r="Q52" s="10"/>
      <c r="R52" s="10"/>
      <c r="S52" s="10"/>
      <c r="T52" s="11"/>
      <c r="U52" s="9" t="str">
        <f aca="false">IF(T52="","",1-T52)</f>
        <v/>
      </c>
      <c r="V52" s="6" t="str">
        <f aca="false">IF(P52="","",IF(Q52="No","No AI in current tool: consider add-on or API-based option",IF(T52="","Estimate how much the tool covers",IF(T52&gt;=Lookups!$B$26,IF(AND(R52="Yes",S52="Yes"),"Covered: keep and monitor","Switch on and train people on the existing feature"),"Partial: configure the tool, then fill the gap"))))</f>
        <v/>
      </c>
      <c r="W52" s="6"/>
    </row>
    <row r="53" customFormat="false" ht="25.5" hidden="false" customHeight="true" outlineLevel="0" collapsed="false">
      <c r="A53" s="6" t="s">
        <v>504</v>
      </c>
      <c r="B53" s="6" t="s">
        <v>32</v>
      </c>
      <c r="C53" s="6" t="s">
        <v>505</v>
      </c>
      <c r="D53" s="6" t="s">
        <v>34</v>
      </c>
      <c r="E53" s="6" t="s">
        <v>506</v>
      </c>
      <c r="F53" s="6" t="s">
        <v>507</v>
      </c>
      <c r="G53" s="6" t="s">
        <v>508</v>
      </c>
      <c r="H53" s="6" t="s">
        <v>38</v>
      </c>
      <c r="I53" s="6" t="s">
        <v>39</v>
      </c>
      <c r="J53" s="6" t="s">
        <v>509</v>
      </c>
      <c r="K53" s="6" t="s">
        <v>510</v>
      </c>
      <c r="L53" s="6" t="s">
        <v>511</v>
      </c>
      <c r="M53" s="6" t="s">
        <v>512</v>
      </c>
      <c r="N53" s="6" t="s">
        <v>44</v>
      </c>
      <c r="O53" s="6" t="s">
        <v>45</v>
      </c>
      <c r="P53" s="10"/>
      <c r="Q53" s="10"/>
      <c r="R53" s="10"/>
      <c r="S53" s="10"/>
      <c r="T53" s="11"/>
      <c r="U53" s="9" t="str">
        <f aca="false">IF(T53="","",1-T53)</f>
        <v/>
      </c>
      <c r="V53" s="6" t="str">
        <f aca="false">IF(P53="","",IF(Q53="No","No AI in current tool: consider add-on or API-based option",IF(T53="","Estimate how much the tool covers",IF(T53&gt;=Lookups!$B$26,IF(AND(R53="Yes",S53="Yes"),"Covered: keep and monitor","Switch on and train people on the existing feature"),"Partial: configure the tool, then fill the gap"))))</f>
        <v/>
      </c>
      <c r="W53" s="6"/>
    </row>
    <row r="54" customFormat="false" ht="25.5" hidden="false" customHeight="true" outlineLevel="0" collapsed="false">
      <c r="A54" s="6" t="s">
        <v>513</v>
      </c>
      <c r="B54" s="6" t="s">
        <v>101</v>
      </c>
      <c r="C54" s="6" t="s">
        <v>505</v>
      </c>
      <c r="D54" s="6" t="s">
        <v>61</v>
      </c>
      <c r="E54" s="6" t="s">
        <v>514</v>
      </c>
      <c r="F54" s="6" t="s">
        <v>515</v>
      </c>
      <c r="G54" s="6" t="s">
        <v>516</v>
      </c>
      <c r="H54" s="6" t="s">
        <v>65</v>
      </c>
      <c r="I54" s="6" t="s">
        <v>106</v>
      </c>
      <c r="J54" s="6" t="s">
        <v>517</v>
      </c>
      <c r="K54" s="6" t="s">
        <v>518</v>
      </c>
      <c r="L54" s="6" t="s">
        <v>519</v>
      </c>
      <c r="M54" s="6" t="s">
        <v>520</v>
      </c>
      <c r="N54" s="6" t="s">
        <v>59</v>
      </c>
      <c r="O54" s="6" t="s">
        <v>70</v>
      </c>
      <c r="P54" s="10"/>
      <c r="Q54" s="10"/>
      <c r="R54" s="10"/>
      <c r="S54" s="10"/>
      <c r="T54" s="11"/>
      <c r="U54" s="9" t="str">
        <f aca="false">IF(T54="","",1-T54)</f>
        <v/>
      </c>
      <c r="V54" s="6" t="str">
        <f aca="false">IF(P54="","",IF(Q54="No","No AI in current tool: consider add-on or API-based option",IF(T54="","Estimate how much the tool covers",IF(T54&gt;=Lookups!$B$26,IF(AND(R54="Yes",S54="Yes"),"Covered: keep and monitor","Switch on and train people on the existing feature"),"Partial: configure the tool, then fill the gap"))))</f>
        <v/>
      </c>
      <c r="W54" s="6"/>
    </row>
    <row r="55" customFormat="false" ht="25.5" hidden="false" customHeight="true" outlineLevel="0" collapsed="false">
      <c r="A55" s="6" t="s">
        <v>521</v>
      </c>
      <c r="B55" s="6" t="s">
        <v>522</v>
      </c>
      <c r="C55" s="6" t="s">
        <v>523</v>
      </c>
      <c r="D55" s="6" t="s">
        <v>112</v>
      </c>
      <c r="E55" s="6" t="s">
        <v>524</v>
      </c>
      <c r="F55" s="6" t="s">
        <v>525</v>
      </c>
      <c r="G55" s="6" t="s">
        <v>526</v>
      </c>
      <c r="H55" s="6" t="s">
        <v>54</v>
      </c>
      <c r="I55" s="6" t="s">
        <v>85</v>
      </c>
      <c r="J55" s="6" t="s">
        <v>527</v>
      </c>
      <c r="K55" s="6" t="s">
        <v>528</v>
      </c>
      <c r="L55" s="6" t="s">
        <v>45</v>
      </c>
      <c r="M55" s="6" t="s">
        <v>529</v>
      </c>
      <c r="N55" s="6" t="s">
        <v>45</v>
      </c>
      <c r="O55" s="6" t="s">
        <v>45</v>
      </c>
      <c r="P55" s="10"/>
      <c r="Q55" s="10"/>
      <c r="R55" s="10"/>
      <c r="S55" s="10"/>
      <c r="T55" s="11"/>
      <c r="U55" s="9" t="str">
        <f aca="false">IF(T55="","",1-T55)</f>
        <v/>
      </c>
      <c r="V55" s="6" t="str">
        <f aca="false">IF(P55="","",IF(Q55="No","No AI in current tool: consider add-on or API-based option",IF(T55="","Estimate how much the tool covers",IF(T55&gt;=Lookups!$B$26,IF(AND(R55="Yes",S55="Yes"),"Covered: keep and monitor","Switch on and train people on the existing feature"),"Partial: configure the tool, then fill the gap"))))</f>
        <v/>
      </c>
      <c r="W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10"/>
      <c r="Q56" s="10"/>
      <c r="R56" s="10"/>
      <c r="S56" s="10"/>
      <c r="T56" s="11"/>
      <c r="U56" s="9" t="str">
        <f aca="false">IF(T56="","",1-T56)</f>
        <v/>
      </c>
      <c r="V56" s="6" t="str">
        <f aca="false">IF(P56="","",IF(Q56="No","No AI in current tool: consider add-on or API-based option",IF(T56="","Estimate how much the tool covers",IF(T56&gt;=Lookups!$B$26,IF(AND(R56="Yes",S56="Yes"),"Covered: keep and monitor","Switch on and train people on the existing feature"),"Partial: configure the tool, then fill the gap"))))</f>
        <v/>
      </c>
      <c r="W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10"/>
      <c r="Q57" s="10"/>
      <c r="R57" s="10"/>
      <c r="S57" s="10"/>
      <c r="T57" s="11"/>
      <c r="U57" s="9" t="str">
        <f aca="false">IF(T57="","",1-T57)</f>
        <v/>
      </c>
      <c r="V57" s="6" t="str">
        <f aca="false">IF(P57="","",IF(Q57="No","No AI in current tool: consider add-on or API-based option",IF(T57="","Estimate how much the tool covers",IF(T57&gt;=Lookups!$B$26,IF(AND(R57="Yes",S57="Yes"),"Covered: keep and monitor","Switch on and train people on the existing feature"),"Partial: configure the tool, then fill the gap"))))</f>
        <v/>
      </c>
      <c r="W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10"/>
      <c r="Q58" s="10"/>
      <c r="R58" s="10"/>
      <c r="S58" s="10"/>
      <c r="T58" s="11"/>
      <c r="U58" s="9" t="str">
        <f aca="false">IF(T58="","",1-T58)</f>
        <v/>
      </c>
      <c r="V58" s="6" t="str">
        <f aca="false">IF(P58="","",IF(Q58="No","No AI in current tool: consider add-on or API-based option",IF(T58="","Estimate how much the tool covers",IF(T58&gt;=Lookups!$B$26,IF(AND(R58="Yes",S58="Yes"),"Covered: keep and monitor","Switch on and train people on the existing feature"),"Partial: configure the tool, then fill the gap"))))</f>
        <v/>
      </c>
      <c r="W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10"/>
      <c r="Q59" s="10"/>
      <c r="R59" s="10"/>
      <c r="S59" s="10"/>
      <c r="T59" s="11"/>
      <c r="U59" s="9" t="str">
        <f aca="false">IF(T59="","",1-T59)</f>
        <v/>
      </c>
      <c r="V59" s="6" t="str">
        <f aca="false">IF(P59="","",IF(Q59="No","No AI in current tool: consider add-on or API-based option",IF(T59="","Estimate how much the tool covers",IF(T59&gt;=Lookups!$B$26,IF(AND(R59="Yes",S59="Yes"),"Covered: keep and monitor","Switch on and train people on the existing feature"),"Partial: configure the tool, then fill the gap"))))</f>
        <v/>
      </c>
      <c r="W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10"/>
      <c r="Q60" s="10"/>
      <c r="R60" s="10"/>
      <c r="S60" s="10"/>
      <c r="T60" s="11"/>
      <c r="U60" s="9" t="str">
        <f aca="false">IF(T60="","",1-T60)</f>
        <v/>
      </c>
      <c r="V60" s="6" t="str">
        <f aca="false">IF(P60="","",IF(Q60="No","No AI in current tool: consider add-on or API-based option",IF(T60="","Estimate how much the tool covers",IF(T60&gt;=Lookups!$B$26,IF(AND(R60="Yes",S60="Yes"),"Covered: keep and monitor","Switch on and train people on the existing feature"),"Partial: configure the tool, then fill the gap"))))</f>
        <v/>
      </c>
      <c r="W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10"/>
      <c r="Q61" s="10"/>
      <c r="R61" s="10"/>
      <c r="S61" s="10"/>
      <c r="T61" s="11"/>
      <c r="U61" s="9" t="str">
        <f aca="false">IF(T61="","",1-T61)</f>
        <v/>
      </c>
      <c r="V61" s="6" t="str">
        <f aca="false">IF(P61="","",IF(Q61="No","No AI in current tool: consider add-on or API-based option",IF(T61="","Estimate how much the tool covers",IF(T61&gt;=Lookups!$B$26,IF(AND(R61="Yes",S61="Yes"),"Covered: keep and monitor","Switch on and train people on the existing feature"),"Partial: configure the tool, then fill the gap"))))</f>
        <v/>
      </c>
      <c r="W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10"/>
      <c r="Q62" s="10"/>
      <c r="R62" s="10"/>
      <c r="S62" s="10"/>
      <c r="T62" s="11"/>
      <c r="U62" s="9" t="str">
        <f aca="false">IF(T62="","",1-T62)</f>
        <v/>
      </c>
      <c r="V62" s="6" t="str">
        <f aca="false">IF(P62="","",IF(Q62="No","No AI in current tool: consider add-on or API-based option",IF(T62="","Estimate how much the tool covers",IF(T62&gt;=Lookups!$B$26,IF(AND(R62="Yes",S62="Yes"),"Covered: keep and monitor","Switch on and train people on the existing feature"),"Partial: configure the tool, then fill the gap"))))</f>
        <v/>
      </c>
      <c r="W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10"/>
      <c r="Q63" s="10"/>
      <c r="R63" s="10"/>
      <c r="S63" s="10"/>
      <c r="T63" s="11"/>
      <c r="U63" s="9" t="str">
        <f aca="false">IF(T63="","",1-T63)</f>
        <v/>
      </c>
      <c r="V63" s="6" t="str">
        <f aca="false">IF(P63="","",IF(Q63="No","No AI in current tool: consider add-on or API-based option",IF(T63="","Estimate how much the tool covers",IF(T63&gt;=Lookups!$B$26,IF(AND(R63="Yes",S63="Yes"),"Covered: keep and monitor","Switch on and train people on the existing feature"),"Partial: configure the tool, then fill the gap"))))</f>
        <v/>
      </c>
      <c r="W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10"/>
      <c r="Q64" s="10"/>
      <c r="R64" s="10"/>
      <c r="S64" s="10"/>
      <c r="T64" s="11"/>
      <c r="U64" s="9" t="str">
        <f aca="false">IF(T64="","",1-T64)</f>
        <v/>
      </c>
      <c r="V64" s="6" t="str">
        <f aca="false">IF(P64="","",IF(Q64="No","No AI in current tool: consider add-on or API-based option",IF(T64="","Estimate how much the tool covers",IF(T64&gt;=Lookups!$B$26,IF(AND(R64="Yes",S64="Yes"),"Covered: keep and monitor","Switch on and train people on the existing feature"),"Partial: configure the tool, then fill the gap"))))</f>
        <v/>
      </c>
      <c r="W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10"/>
      <c r="Q65" s="10"/>
      <c r="R65" s="10"/>
      <c r="S65" s="10"/>
      <c r="T65" s="11"/>
      <c r="U65" s="9" t="str">
        <f aca="false">IF(T65="","",1-T65)</f>
        <v/>
      </c>
      <c r="V65" s="6" t="str">
        <f aca="false">IF(P65="","",IF(Q65="No","No AI in current tool: consider add-on or API-based option",IF(T65="","Estimate how much the tool covers",IF(T65&gt;=Lookups!$B$26,IF(AND(R65="Yes",S65="Yes"),"Covered: keep and monitor","Switch on and train people on the existing feature"),"Partial: configure the tool, then fill the gap"))))</f>
        <v/>
      </c>
      <c r="W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10"/>
      <c r="Q66" s="10"/>
      <c r="R66" s="10"/>
      <c r="S66" s="10"/>
      <c r="T66" s="11"/>
      <c r="U66" s="9" t="str">
        <f aca="false">IF(T66="","",1-T66)</f>
        <v/>
      </c>
      <c r="V66" s="6" t="str">
        <f aca="false">IF(P66="","",IF(Q66="No","No AI in current tool: consider add-on or API-based option",IF(T66="","Estimate how much the tool covers",IF(T66&gt;=Lookups!$B$26,IF(AND(R66="Yes",S66="Yes"),"Covered: keep and monitor","Switch on and train people on the existing feature"),"Partial: configure the tool, then fill the gap"))))</f>
        <v/>
      </c>
      <c r="W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10"/>
      <c r="Q67" s="10"/>
      <c r="R67" s="10"/>
      <c r="S67" s="10"/>
      <c r="T67" s="11"/>
      <c r="U67" s="9" t="str">
        <f aca="false">IF(T67="","",1-T67)</f>
        <v/>
      </c>
      <c r="V67" s="6" t="str">
        <f aca="false">IF(P67="","",IF(Q67="No","No AI in current tool: consider add-on or API-based option",IF(T67="","Estimate how much the tool covers",IF(T67&gt;=Lookups!$B$26,IF(AND(R67="Yes",S67="Yes"),"Covered: keep and monitor","Switch on and train people on the existing feature"),"Partial: configure the tool, then fill the gap"))))</f>
        <v/>
      </c>
      <c r="W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10"/>
      <c r="Q68" s="10"/>
      <c r="R68" s="10"/>
      <c r="S68" s="10"/>
      <c r="T68" s="11"/>
      <c r="U68" s="9" t="str">
        <f aca="false">IF(T68="","",1-T68)</f>
        <v/>
      </c>
      <c r="V68" s="6" t="str">
        <f aca="false">IF(P68="","",IF(Q68="No","No AI in current tool: consider add-on or API-based option",IF(T68="","Estimate how much the tool covers",IF(T68&gt;=Lookups!$B$26,IF(AND(R68="Yes",S68="Yes"),"Covered: keep and monitor","Switch on and train people on the existing feature"),"Partial: configure the tool, then fill the gap"))))</f>
        <v/>
      </c>
      <c r="W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10"/>
      <c r="Q69" s="10"/>
      <c r="R69" s="10"/>
      <c r="S69" s="10"/>
      <c r="T69" s="11"/>
      <c r="U69" s="9" t="str">
        <f aca="false">IF(T69="","",1-T69)</f>
        <v/>
      </c>
      <c r="V69" s="6" t="str">
        <f aca="false">IF(P69="","",IF(Q69="No","No AI in current tool: consider add-on or API-based option",IF(T69="","Estimate how much the tool covers",IF(T69&gt;=Lookups!$B$26,IF(AND(R69="Yes",S69="Yes"),"Covered: keep and monitor","Switch on and train people on the existing feature"),"Partial: configure the tool, then fill the gap"))))</f>
        <v/>
      </c>
      <c r="W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10"/>
      <c r="Q70" s="10"/>
      <c r="R70" s="10"/>
      <c r="S70" s="10"/>
      <c r="T70" s="11"/>
      <c r="U70" s="9" t="str">
        <f aca="false">IF(T70="","",1-T70)</f>
        <v/>
      </c>
      <c r="V70" s="6" t="str">
        <f aca="false">IF(P70="","",IF(Q70="No","No AI in current tool: consider add-on or API-based option",IF(T70="","Estimate how much the tool covers",IF(T70&gt;=Lookups!$B$26,IF(AND(R70="Yes",S70="Yes"),"Covered: keep and monitor","Switch on and train people on the existing feature"),"Partial: configure the tool, then fill the gap"))))</f>
        <v/>
      </c>
      <c r="W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10"/>
      <c r="Q71" s="10"/>
      <c r="R71" s="10"/>
      <c r="S71" s="10"/>
      <c r="T71" s="11"/>
      <c r="U71" s="9" t="str">
        <f aca="false">IF(T71="","",1-T71)</f>
        <v/>
      </c>
      <c r="V71" s="6" t="str">
        <f aca="false">IF(P71="","",IF(Q71="No","No AI in current tool: consider add-on or API-based option",IF(T71="","Estimate how much the tool covers",IF(T71&gt;=Lookups!$B$26,IF(AND(R71="Yes",S71="Yes"),"Covered: keep and monitor","Switch on and train people on the existing feature"),"Partial: configure the tool, then fill the gap"))))</f>
        <v/>
      </c>
      <c r="W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10"/>
      <c r="Q72" s="10"/>
      <c r="R72" s="10"/>
      <c r="S72" s="10"/>
      <c r="T72" s="11"/>
      <c r="U72" s="9" t="str">
        <f aca="false">IF(T72="","",1-T72)</f>
        <v/>
      </c>
      <c r="V72" s="6" t="str">
        <f aca="false">IF(P72="","",IF(Q72="No","No AI in current tool: consider add-on or API-based option",IF(T72="","Estimate how much the tool covers",IF(T72&gt;=Lookups!$B$26,IF(AND(R72="Yes",S72="Yes"),"Covered: keep and monitor","Switch on and train people on the existing feature"),"Partial: configure the tool, then fill the gap"))))</f>
        <v/>
      </c>
      <c r="W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10"/>
      <c r="Q73" s="10"/>
      <c r="R73" s="10"/>
      <c r="S73" s="10"/>
      <c r="T73" s="11"/>
      <c r="U73" s="9" t="str">
        <f aca="false">IF(T73="","",1-T73)</f>
        <v/>
      </c>
      <c r="V73" s="6" t="str">
        <f aca="false">IF(P73="","",IF(Q73="No","No AI in current tool: consider add-on or API-based option",IF(T73="","Estimate how much the tool covers",IF(T73&gt;=Lookups!$B$26,IF(AND(R73="Yes",S73="Yes"),"Covered: keep and monitor","Switch on and train people on the existing feature"),"Partial: configure the tool, then fill the gap"))))</f>
        <v/>
      </c>
      <c r="W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10"/>
      <c r="Q74" s="10"/>
      <c r="R74" s="10"/>
      <c r="S74" s="10"/>
      <c r="T74" s="11"/>
      <c r="U74" s="9" t="str">
        <f aca="false">IF(T74="","",1-T74)</f>
        <v/>
      </c>
      <c r="V74" s="6" t="str">
        <f aca="false">IF(P74="","",IF(Q74="No","No AI in current tool: consider add-on or API-based option",IF(T74="","Estimate how much the tool covers",IF(T74&gt;=Lookups!$B$26,IF(AND(R74="Yes",S74="Yes"),"Covered: keep and monitor","Switch on and train people on the existing feature"),"Partial: configure the tool, then fill the gap"))))</f>
        <v/>
      </c>
      <c r="W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10"/>
      <c r="Q75" s="10"/>
      <c r="R75" s="10"/>
      <c r="S75" s="10"/>
      <c r="T75" s="11"/>
      <c r="U75" s="9" t="str">
        <f aca="false">IF(T75="","",1-T75)</f>
        <v/>
      </c>
      <c r="V75" s="6" t="str">
        <f aca="false">IF(P75="","",IF(Q75="No","No AI in current tool: consider add-on or API-based option",IF(T75="","Estimate how much the tool covers",IF(T75&gt;=Lookups!$B$26,IF(AND(R75="Yes",S75="Yes"),"Covered: keep and monitor","Switch on and train people on the existing feature"),"Partial: configure the tool, then fill the gap"))))</f>
        <v/>
      </c>
      <c r="W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10"/>
      <c r="Q76" s="10"/>
      <c r="R76" s="10"/>
      <c r="S76" s="10"/>
      <c r="T76" s="11"/>
      <c r="U76" s="9" t="str">
        <f aca="false">IF(T76="","",1-T76)</f>
        <v/>
      </c>
      <c r="V76" s="6" t="str">
        <f aca="false">IF(P76="","",IF(Q76="No","No AI in current tool: consider add-on or API-based option",IF(T76="","Estimate how much the tool covers",IF(T76&gt;=Lookups!$B$26,IF(AND(R76="Yes",S76="Yes"),"Covered: keep and monitor","Switch on and train people on the existing feature"),"Partial: configure the tool, then fill the gap"))))</f>
        <v/>
      </c>
      <c r="W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10"/>
      <c r="Q77" s="10"/>
      <c r="R77" s="10"/>
      <c r="S77" s="10"/>
      <c r="T77" s="11"/>
      <c r="U77" s="9" t="str">
        <f aca="false">IF(T77="","",1-T77)</f>
        <v/>
      </c>
      <c r="V77" s="6" t="str">
        <f aca="false">IF(P77="","",IF(Q77="No","No AI in current tool: consider add-on or API-based option",IF(T77="","Estimate how much the tool covers",IF(T77&gt;=Lookups!$B$26,IF(AND(R77="Yes",S77="Yes"),"Covered: keep and monitor","Switch on and train people on the existing feature"),"Partial: configure the tool, then fill the gap"))))</f>
        <v/>
      </c>
      <c r="W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10"/>
      <c r="Q78" s="10"/>
      <c r="R78" s="10"/>
      <c r="S78" s="10"/>
      <c r="T78" s="11"/>
      <c r="U78" s="9" t="str">
        <f aca="false">IF(T78="","",1-T78)</f>
        <v/>
      </c>
      <c r="V78" s="6" t="str">
        <f aca="false">IF(P78="","",IF(Q78="No","No AI in current tool: consider add-on or API-based option",IF(T78="","Estimate how much the tool covers",IF(T78&gt;=Lookups!$B$26,IF(AND(R78="Yes",S78="Yes"),"Covered: keep and monitor","Switch on and train people on the existing feature"),"Partial: configure the tool, then fill the gap"))))</f>
        <v/>
      </c>
      <c r="W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10"/>
      <c r="Q79" s="10"/>
      <c r="R79" s="10"/>
      <c r="S79" s="10"/>
      <c r="T79" s="11"/>
      <c r="U79" s="9" t="str">
        <f aca="false">IF(T79="","",1-T79)</f>
        <v/>
      </c>
      <c r="V79" s="6" t="str">
        <f aca="false">IF(P79="","",IF(Q79="No","No AI in current tool: consider add-on or API-based option",IF(T79="","Estimate how much the tool covers",IF(T79&gt;=Lookups!$B$26,IF(AND(R79="Yes",S79="Yes"),"Covered: keep and monitor","Switch on and train people on the existing feature"),"Partial: configure the tool, then fill the gap"))))</f>
        <v/>
      </c>
      <c r="W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10"/>
      <c r="Q80" s="10"/>
      <c r="R80" s="10"/>
      <c r="S80" s="10"/>
      <c r="T80" s="11"/>
      <c r="U80" s="9" t="str">
        <f aca="false">IF(T80="","",1-T80)</f>
        <v/>
      </c>
      <c r="V80" s="6" t="str">
        <f aca="false">IF(P80="","",IF(Q80="No","No AI in current tool: consider add-on or API-based option",IF(T80="","Estimate how much the tool covers",IF(T80&gt;=Lookups!$B$26,IF(AND(R80="Yes",S80="Yes"),"Covered: keep and monitor","Switch on and train people on the existing feature"),"Partial: configure the tool, then fill the gap"))))</f>
        <v/>
      </c>
      <c r="W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10"/>
      <c r="Q81" s="10"/>
      <c r="R81" s="10"/>
      <c r="S81" s="10"/>
      <c r="T81" s="11"/>
      <c r="U81" s="9" t="str">
        <f aca="false">IF(T81="","",1-T81)</f>
        <v/>
      </c>
      <c r="V81" s="6" t="str">
        <f aca="false">IF(P81="","",IF(Q81="No","No AI in current tool: consider add-on or API-based option",IF(T81="","Estimate how much the tool covers",IF(T81&gt;=Lookups!$B$26,IF(AND(R81="Yes",S81="Yes"),"Covered: keep and monitor","Switch on and train people on the existing feature"),"Partial: configure the tool, then fill the gap"))))</f>
        <v/>
      </c>
      <c r="W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10"/>
      <c r="Q82" s="10"/>
      <c r="R82" s="10"/>
      <c r="S82" s="10"/>
      <c r="T82" s="11"/>
      <c r="U82" s="9" t="str">
        <f aca="false">IF(T82="","",1-T82)</f>
        <v/>
      </c>
      <c r="V82" s="6" t="str">
        <f aca="false">IF(P82="","",IF(Q82="No","No AI in current tool: consider add-on or API-based option",IF(T82="","Estimate how much the tool covers",IF(T82&gt;=Lookups!$B$26,IF(AND(R82="Yes",S82="Yes"),"Covered: keep and monitor","Switch on and train people on the existing feature"),"Partial: configure the tool, then fill the gap"))))</f>
        <v/>
      </c>
      <c r="W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10"/>
      <c r="Q83" s="10"/>
      <c r="R83" s="10"/>
      <c r="S83" s="10"/>
      <c r="T83" s="11"/>
      <c r="U83" s="9" t="str">
        <f aca="false">IF(T83="","",1-T83)</f>
        <v/>
      </c>
      <c r="V83" s="6" t="str">
        <f aca="false">IF(P83="","",IF(Q83="No","No AI in current tool: consider add-on or API-based option",IF(T83="","Estimate how much the tool covers",IF(T83&gt;=Lookups!$B$26,IF(AND(R83="Yes",S83="Yes"),"Covered: keep and monitor","Switch on and train people on the existing feature"),"Partial: configure the tool, then fill the gap"))))</f>
        <v/>
      </c>
      <c r="W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10"/>
      <c r="Q84" s="10"/>
      <c r="R84" s="10"/>
      <c r="S84" s="10"/>
      <c r="T84" s="11"/>
      <c r="U84" s="9" t="str">
        <f aca="false">IF(T84="","",1-T84)</f>
        <v/>
      </c>
      <c r="V84" s="6" t="str">
        <f aca="false">IF(P84="","",IF(Q84="No","No AI in current tool: consider add-on or API-based option",IF(T84="","Estimate how much the tool covers",IF(T84&gt;=Lookups!$B$26,IF(AND(R84="Yes",S84="Yes"),"Covered: keep and monitor","Switch on and train people on the existing feature"),"Partial: configure the tool, then fill the gap"))))</f>
        <v/>
      </c>
      <c r="W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10"/>
      <c r="Q85" s="10"/>
      <c r="R85" s="10"/>
      <c r="S85" s="10"/>
      <c r="T85" s="11"/>
      <c r="U85" s="9" t="str">
        <f aca="false">IF(T85="","",1-T85)</f>
        <v/>
      </c>
      <c r="V85" s="6" t="str">
        <f aca="false">IF(P85="","",IF(Q85="No","No AI in current tool: consider add-on or API-based option",IF(T85="","Estimate how much the tool covers",IF(T85&gt;=Lookups!$B$26,IF(AND(R85="Yes",S85="Yes"),"Covered: keep and monitor","Switch on and train people on the existing feature"),"Partial: configure the tool, then fill the gap"))))</f>
        <v/>
      </c>
      <c r="W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10"/>
      <c r="Q86" s="10"/>
      <c r="R86" s="10"/>
      <c r="S86" s="10"/>
      <c r="T86" s="11"/>
      <c r="U86" s="9" t="str">
        <f aca="false">IF(T86="","",1-T86)</f>
        <v/>
      </c>
      <c r="V86" s="6" t="str">
        <f aca="false">IF(P86="","",IF(Q86="No","No AI in current tool: consider add-on or API-based option",IF(T86="","Estimate how much the tool covers",IF(T86&gt;=Lookups!$B$26,IF(AND(R86="Yes",S86="Yes"),"Covered: keep and monitor","Switch on and train people on the existing feature"),"Partial: configure the tool, then fill the gap"))))</f>
        <v/>
      </c>
      <c r="W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10"/>
      <c r="Q87" s="10"/>
      <c r="R87" s="10"/>
      <c r="S87" s="10"/>
      <c r="T87" s="11"/>
      <c r="U87" s="9" t="str">
        <f aca="false">IF(T87="","",1-T87)</f>
        <v/>
      </c>
      <c r="V87" s="6" t="str">
        <f aca="false">IF(P87="","",IF(Q87="No","No AI in current tool: consider add-on or API-based option",IF(T87="","Estimate how much the tool covers",IF(T87&gt;=Lookups!$B$26,IF(AND(R87="Yes",S87="Yes"),"Covered: keep and monitor","Switch on and train people on the existing feature"),"Partial: configure the tool, then fill the gap"))))</f>
        <v/>
      </c>
      <c r="W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10"/>
      <c r="Q88" s="10"/>
      <c r="R88" s="10"/>
      <c r="S88" s="10"/>
      <c r="T88" s="11"/>
      <c r="U88" s="9" t="str">
        <f aca="false">IF(T88="","",1-T88)</f>
        <v/>
      </c>
      <c r="V88" s="6" t="str">
        <f aca="false">IF(P88="","",IF(Q88="No","No AI in current tool: consider add-on or API-based option",IF(T88="","Estimate how much the tool covers",IF(T88&gt;=Lookups!$B$26,IF(AND(R88="Yes",S88="Yes"),"Covered: keep and monitor","Switch on and train people on the existing feature"),"Partial: configure the tool, then fill the gap"))))</f>
        <v/>
      </c>
      <c r="W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10"/>
      <c r="Q89" s="10"/>
      <c r="R89" s="10"/>
      <c r="S89" s="10"/>
      <c r="T89" s="11"/>
      <c r="U89" s="9" t="str">
        <f aca="false">IF(T89="","",1-T89)</f>
        <v/>
      </c>
      <c r="V89" s="6" t="str">
        <f aca="false">IF(P89="","",IF(Q89="No","No AI in current tool: consider add-on or API-based option",IF(T89="","Estimate how much the tool covers",IF(T89&gt;=Lookups!$B$26,IF(AND(R89="Yes",S89="Yes"),"Covered: keep and monitor","Switch on and train people on the existing feature"),"Partial: configure the tool, then fill the gap"))))</f>
        <v/>
      </c>
      <c r="W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10"/>
      <c r="Q90" s="10"/>
      <c r="R90" s="10"/>
      <c r="S90" s="10"/>
      <c r="T90" s="11"/>
      <c r="U90" s="9" t="str">
        <f aca="false">IF(T90="","",1-T90)</f>
        <v/>
      </c>
      <c r="V90" s="6" t="str">
        <f aca="false">IF(P90="","",IF(Q90="No","No AI in current tool: consider add-on or API-based option",IF(T90="","Estimate how much the tool covers",IF(T90&gt;=Lookups!$B$26,IF(AND(R90="Yes",S90="Yes"),"Covered: keep and monitor","Switch on and train people on the existing feature"),"Partial: configure the tool, then fill the gap"))))</f>
        <v/>
      </c>
      <c r="W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10"/>
      <c r="Q91" s="10"/>
      <c r="R91" s="10"/>
      <c r="S91" s="10"/>
      <c r="T91" s="11"/>
      <c r="U91" s="9" t="str">
        <f aca="false">IF(T91="","",1-T91)</f>
        <v/>
      </c>
      <c r="V91" s="6" t="str">
        <f aca="false">IF(P91="","",IF(Q91="No","No AI in current tool: consider add-on or API-based option",IF(T91="","Estimate how much the tool covers",IF(T91&gt;=Lookups!$B$26,IF(AND(R91="Yes",S91="Yes"),"Covered: keep and monitor","Switch on and train people on the existing feature"),"Partial: configure the tool, then fill the gap"))))</f>
        <v/>
      </c>
      <c r="W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10"/>
      <c r="Q92" s="10"/>
      <c r="R92" s="10"/>
      <c r="S92" s="10"/>
      <c r="T92" s="11"/>
      <c r="U92" s="9" t="str">
        <f aca="false">IF(T92="","",1-T92)</f>
        <v/>
      </c>
      <c r="V92" s="6" t="str">
        <f aca="false">IF(P92="","",IF(Q92="No","No AI in current tool: consider add-on or API-based option",IF(T92="","Estimate how much the tool covers",IF(T92&gt;=Lookups!$B$26,IF(AND(R92="Yes",S92="Yes"),"Covered: keep and monitor","Switch on and train people on the existing feature"),"Partial: configure the tool, then fill the gap"))))</f>
        <v/>
      </c>
      <c r="W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10"/>
      <c r="Q93" s="10"/>
      <c r="R93" s="10"/>
      <c r="S93" s="10"/>
      <c r="T93" s="11"/>
      <c r="U93" s="9" t="str">
        <f aca="false">IF(T93="","",1-T93)</f>
        <v/>
      </c>
      <c r="V93" s="6" t="str">
        <f aca="false">IF(P93="","",IF(Q93="No","No AI in current tool: consider add-on or API-based option",IF(T93="","Estimate how much the tool covers",IF(T93&gt;=Lookups!$B$26,IF(AND(R93="Yes",S93="Yes"),"Covered: keep and monitor","Switch on and train people on the existing feature"),"Partial: configure the tool, then fill the gap"))))</f>
        <v/>
      </c>
      <c r="W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10"/>
      <c r="Q94" s="10"/>
      <c r="R94" s="10"/>
      <c r="S94" s="10"/>
      <c r="T94" s="11"/>
      <c r="U94" s="9" t="str">
        <f aca="false">IF(T94="","",1-T94)</f>
        <v/>
      </c>
      <c r="V94" s="6" t="str">
        <f aca="false">IF(P94="","",IF(Q94="No","No AI in current tool: consider add-on or API-based option",IF(T94="","Estimate how much the tool covers",IF(T94&gt;=Lookups!$B$26,IF(AND(R94="Yes",S94="Yes"),"Covered: keep and monitor","Switch on and train people on the existing feature"),"Partial: configure the tool, then fill the gap"))))</f>
        <v/>
      </c>
      <c r="W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10"/>
      <c r="Q95" s="10"/>
      <c r="R95" s="10"/>
      <c r="S95" s="10"/>
      <c r="T95" s="11"/>
      <c r="U95" s="9" t="str">
        <f aca="false">IF(T95="","",1-T95)</f>
        <v/>
      </c>
      <c r="V95" s="6" t="str">
        <f aca="false">IF(P95="","",IF(Q95="No","No AI in current tool: consider add-on or API-based option",IF(T95="","Estimate how much the tool covers",IF(T95&gt;=Lookups!$B$26,IF(AND(R95="Yes",S95="Yes"),"Covered: keep and monitor","Switch on and train people on the existing feature"),"Partial: configure the tool, then fill the gap"))))</f>
        <v/>
      </c>
      <c r="W95" s="6"/>
    </row>
  </sheetData>
  <autoFilter ref="A1:W95"/>
  <conditionalFormatting sqref="N2:N95">
    <cfRule type="cellIs" priority="2" operator="equal" aboveAverage="0" equalAverage="0" bottom="0" percent="0" rank="0" text="" dxfId="10">
      <formula>"Very high"</formula>
    </cfRule>
    <cfRule type="cellIs" priority="3" operator="equal" aboveAverage="0" equalAverage="0" bottom="0" percent="0" rank="0" text="" dxfId="11">
      <formula>"High"</formula>
    </cfRule>
    <cfRule type="cellIs" priority="4" operator="equal" aboveAverage="0" equalAverage="0" bottom="0" percent="0" rank="0" text="" dxfId="12">
      <formula>"Low"</formula>
    </cfRule>
  </conditionalFormatting>
  <dataValidations count="10">
    <dataValidation allowBlank="true" errorStyle="stop" operator="between" showDropDown="false" showErrorMessage="false" showInputMessage="false" sqref="B2:B95" type="list">
      <formula1>Lookups!$A$2:$A$7</formula1>
      <formula2>0</formula2>
    </dataValidation>
    <dataValidation allowBlank="true" errorStyle="stop" operator="between" showDropDown="false" showErrorMessage="false" showInputMessage="false" sqref="C2:C95" type="list">
      <formula1>Lookups!$B$2:$B$19</formula1>
      <formula2>0</formula2>
    </dataValidation>
    <dataValidation allowBlank="true" errorStyle="stop" operator="between" showDropDown="false" showErrorMessage="false" showInputMessage="false" sqref="D2:D95" type="list">
      <formula1>Lookups!$C$2:$C$19</formula1>
      <formula2>0</formula2>
    </dataValidation>
    <dataValidation allowBlank="true" errorStyle="stop" operator="between" showDropDown="false" showErrorMessage="false" showInputMessage="false" sqref="H2:H95" type="list">
      <formula1>Lookups!$D$2:$D$13</formula1>
      <formula2>0</formula2>
    </dataValidation>
    <dataValidation allowBlank="true" errorStyle="stop" operator="between" showDropDown="false" showErrorMessage="false" showInputMessage="false" sqref="I2:I95" type="list">
      <formula1>Lookups!$E$2:$E$12</formula1>
      <formula2>0</formula2>
    </dataValidation>
    <dataValidation allowBlank="true" errorStyle="stop" operator="between" showDropDown="false" showErrorMessage="false" showInputMessage="false" sqref="N2:N95" type="list">
      <formula1>Lookups!$F$2:$F$5</formula1>
      <formula2>0</formula2>
    </dataValidation>
    <dataValidation allowBlank="true" errorStyle="stop" operator="between" showDropDown="false" showErrorMessage="false" showInputMessage="false" sqref="O2:O95" type="list">
      <formula1>Lookups!$H$2:$H$4</formula1>
      <formula2>0</formula2>
    </dataValidation>
    <dataValidation allowBlank="true" errorStyle="stop" operator="between" showDropDown="false" showErrorMessage="false" showInputMessage="false" sqref="Q2:Q95" type="list">
      <formula1>Lookups!$I$2:$I$4</formula1>
      <formula2>0</formula2>
    </dataValidation>
    <dataValidation allowBlank="true" errorStyle="stop" operator="between" showDropDown="false" showErrorMessage="false" showInputMessage="false" sqref="R2:R95" type="list">
      <formula1>Lookups!$I$2:$I$4</formula1>
      <formula2>0</formula2>
    </dataValidation>
    <dataValidation allowBlank="true" errorStyle="stop" operator="between" showDropDown="false" showErrorMessage="false" showInputMessage="false" sqref="S2:S95" type="list">
      <formula1>Lookups!$I$2:$I$4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42"/>
    <col collapsed="false" customWidth="true" hidden="false" outlineLevel="0" max="4" min="4" style="0" width="36"/>
    <col collapsed="false" customWidth="true" hidden="false" outlineLevel="0" max="6" min="5" style="0" width="40"/>
  </cols>
  <sheetData>
    <row r="1" customFormat="false" ht="15" hidden="false" customHeight="false" outlineLevel="0" collapsed="false">
      <c r="A1" s="12" t="s">
        <v>530</v>
      </c>
      <c r="B1" s="12" t="s">
        <v>531</v>
      </c>
      <c r="C1" s="12" t="s">
        <v>532</v>
      </c>
      <c r="D1" s="12" t="s">
        <v>533</v>
      </c>
      <c r="E1" s="12" t="s">
        <v>534</v>
      </c>
      <c r="F1" s="12" t="s">
        <v>30</v>
      </c>
    </row>
    <row r="2" customFormat="false" ht="42" hidden="false" customHeight="true" outlineLevel="0" collapsed="false">
      <c r="A2" s="13" t="s">
        <v>85</v>
      </c>
      <c r="B2" s="14" t="s">
        <v>535</v>
      </c>
      <c r="C2" s="14" t="s">
        <v>536</v>
      </c>
      <c r="D2" s="14" t="s">
        <v>537</v>
      </c>
      <c r="E2" s="14" t="s">
        <v>538</v>
      </c>
      <c r="F2" s="14" t="s">
        <v>539</v>
      </c>
    </row>
    <row r="3" customFormat="false" ht="42" hidden="false" customHeight="true" outlineLevel="0" collapsed="false">
      <c r="A3" s="13" t="s">
        <v>39</v>
      </c>
      <c r="B3" s="14" t="s">
        <v>540</v>
      </c>
      <c r="C3" s="14" t="s">
        <v>541</v>
      </c>
      <c r="D3" s="14" t="s">
        <v>542</v>
      </c>
      <c r="E3" s="14" t="s">
        <v>543</v>
      </c>
      <c r="F3" s="14" t="s">
        <v>544</v>
      </c>
    </row>
    <row r="4" customFormat="false" ht="42" hidden="false" customHeight="true" outlineLevel="0" collapsed="false">
      <c r="A4" s="13" t="s">
        <v>134</v>
      </c>
      <c r="B4" s="14" t="s">
        <v>545</v>
      </c>
      <c r="C4" s="14" t="s">
        <v>546</v>
      </c>
      <c r="D4" s="14" t="s">
        <v>547</v>
      </c>
      <c r="E4" s="14" t="s">
        <v>548</v>
      </c>
      <c r="F4" s="14" t="s">
        <v>549</v>
      </c>
    </row>
    <row r="5" customFormat="false" ht="42" hidden="false" customHeight="true" outlineLevel="0" collapsed="false">
      <c r="A5" s="13" t="s">
        <v>76</v>
      </c>
      <c r="B5" s="14" t="s">
        <v>550</v>
      </c>
      <c r="C5" s="14" t="s">
        <v>551</v>
      </c>
      <c r="D5" s="14" t="s">
        <v>552</v>
      </c>
      <c r="E5" s="14" t="s">
        <v>553</v>
      </c>
      <c r="F5" s="14" t="s">
        <v>554</v>
      </c>
    </row>
    <row r="6" customFormat="false" ht="42" hidden="false" customHeight="true" outlineLevel="0" collapsed="false">
      <c r="A6" s="13" t="s">
        <v>555</v>
      </c>
      <c r="B6" s="14" t="s">
        <v>556</v>
      </c>
      <c r="C6" s="14" t="s">
        <v>557</v>
      </c>
      <c r="D6" s="14" t="s">
        <v>558</v>
      </c>
      <c r="E6" s="14" t="s">
        <v>559</v>
      </c>
      <c r="F6" s="14" t="s">
        <v>560</v>
      </c>
    </row>
    <row r="7" customFormat="false" ht="42" hidden="false" customHeight="true" outlineLevel="0" collapsed="false">
      <c r="A7" s="13" t="s">
        <v>561</v>
      </c>
      <c r="B7" s="14" t="s">
        <v>562</v>
      </c>
      <c r="C7" s="14" t="s">
        <v>563</v>
      </c>
      <c r="D7" s="14" t="s">
        <v>564</v>
      </c>
      <c r="E7" s="14" t="s">
        <v>565</v>
      </c>
      <c r="F7" s="14" t="s">
        <v>566</v>
      </c>
    </row>
    <row r="8" customFormat="false" ht="42" hidden="false" customHeight="true" outlineLevel="0" collapsed="false">
      <c r="A8" s="13" t="s">
        <v>567</v>
      </c>
      <c r="B8" s="14" t="s">
        <v>568</v>
      </c>
      <c r="C8" s="14" t="s">
        <v>569</v>
      </c>
      <c r="D8" s="14" t="s">
        <v>570</v>
      </c>
      <c r="E8" s="14" t="s">
        <v>571</v>
      </c>
      <c r="F8" s="14" t="s">
        <v>572</v>
      </c>
    </row>
    <row r="9" customFormat="false" ht="42" hidden="false" customHeight="true" outlineLevel="0" collapsed="false">
      <c r="A9" s="13" t="s">
        <v>106</v>
      </c>
      <c r="B9" s="14" t="s">
        <v>573</v>
      </c>
      <c r="C9" s="14" t="s">
        <v>574</v>
      </c>
      <c r="D9" s="14" t="s">
        <v>575</v>
      </c>
      <c r="E9" s="14" t="s">
        <v>576</v>
      </c>
      <c r="F9" s="14" t="s">
        <v>577</v>
      </c>
    </row>
    <row r="10" customFormat="false" ht="42" hidden="false" customHeight="true" outlineLevel="0" collapsed="false">
      <c r="A10" s="13" t="s">
        <v>290</v>
      </c>
      <c r="B10" s="14" t="s">
        <v>578</v>
      </c>
      <c r="C10" s="14" t="s">
        <v>579</v>
      </c>
      <c r="D10" s="14" t="s">
        <v>580</v>
      </c>
      <c r="E10" s="14" t="s">
        <v>581</v>
      </c>
      <c r="F10" s="14" t="s">
        <v>582</v>
      </c>
    </row>
    <row r="11" customFormat="false" ht="42" hidden="false" customHeight="true" outlineLevel="0" collapsed="false">
      <c r="A11" s="13" t="s">
        <v>302</v>
      </c>
      <c r="B11" s="14" t="s">
        <v>583</v>
      </c>
      <c r="C11" s="14" t="s">
        <v>584</v>
      </c>
      <c r="D11" s="14" t="s">
        <v>585</v>
      </c>
      <c r="E11" s="14" t="s">
        <v>586</v>
      </c>
      <c r="F11" s="14" t="s">
        <v>587</v>
      </c>
    </row>
    <row r="12" customFormat="false" ht="42" hidden="false" customHeight="true" outlineLevel="0" collapsed="false">
      <c r="A12" s="13" t="s">
        <v>588</v>
      </c>
      <c r="B12" s="14" t="s">
        <v>589</v>
      </c>
      <c r="C12" s="14" t="s">
        <v>590</v>
      </c>
      <c r="D12" s="14" t="s">
        <v>591</v>
      </c>
      <c r="E12" s="14" t="s">
        <v>592</v>
      </c>
      <c r="F12" s="14" t="s"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5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5" t="s">
        <v>594</v>
      </c>
      <c r="B1" s="15" t="s">
        <v>595</v>
      </c>
      <c r="C1" s="15" t="s">
        <v>596</v>
      </c>
    </row>
    <row r="2" customFormat="false" ht="31.5" hidden="false" customHeight="true" outlineLevel="0" collapsed="false">
      <c r="A2" s="14" t="s">
        <v>597</v>
      </c>
      <c r="B2" s="14" t="s">
        <v>598</v>
      </c>
      <c r="C2" s="14" t="s">
        <v>599</v>
      </c>
    </row>
    <row r="3" customFormat="false" ht="31.5" hidden="false" customHeight="true" outlineLevel="0" collapsed="false">
      <c r="A3" s="14" t="s">
        <v>600</v>
      </c>
      <c r="B3" s="14" t="s">
        <v>601</v>
      </c>
      <c r="C3" s="14" t="s">
        <v>602</v>
      </c>
    </row>
    <row r="4" customFormat="false" ht="31.5" hidden="false" customHeight="true" outlineLevel="0" collapsed="false">
      <c r="A4" s="14" t="s">
        <v>603</v>
      </c>
      <c r="B4" s="14" t="s">
        <v>604</v>
      </c>
      <c r="C4" s="14" t="s">
        <v>605</v>
      </c>
    </row>
    <row r="5" customFormat="false" ht="31.5" hidden="false" customHeight="true" outlineLevel="0" collapsed="false">
      <c r="A5" s="14" t="s">
        <v>606</v>
      </c>
      <c r="B5" s="14" t="s">
        <v>607</v>
      </c>
      <c r="C5" s="14" t="s">
        <v>608</v>
      </c>
    </row>
    <row r="6" customFormat="false" ht="31.5" hidden="false" customHeight="true" outlineLevel="0" collapsed="false">
      <c r="A6" s="14" t="s">
        <v>609</v>
      </c>
      <c r="B6" s="14" t="s">
        <v>610</v>
      </c>
      <c r="C6" s="14" t="s">
        <v>611</v>
      </c>
    </row>
    <row r="7" customFormat="false" ht="31.5" hidden="false" customHeight="true" outlineLevel="0" collapsed="false">
      <c r="A7" s="14" t="s">
        <v>612</v>
      </c>
      <c r="B7" s="14" t="s">
        <v>613</v>
      </c>
      <c r="C7" s="14" t="s">
        <v>614</v>
      </c>
    </row>
    <row r="8" customFormat="false" ht="31.5" hidden="false" customHeight="true" outlineLevel="0" collapsed="false">
      <c r="A8" s="14" t="s">
        <v>615</v>
      </c>
      <c r="B8" s="14" t="s">
        <v>616</v>
      </c>
      <c r="C8" s="14" t="s">
        <v>617</v>
      </c>
    </row>
    <row r="9" customFormat="false" ht="31.5" hidden="false" customHeight="true" outlineLevel="0" collapsed="false">
      <c r="A9" s="14" t="s">
        <v>618</v>
      </c>
      <c r="B9" s="14" t="s">
        <v>619</v>
      </c>
      <c r="C9" s="14" t="s">
        <v>620</v>
      </c>
    </row>
    <row r="10" customFormat="false" ht="31.5" hidden="false" customHeight="true" outlineLevel="0" collapsed="false">
      <c r="A10" s="14" t="s">
        <v>621</v>
      </c>
      <c r="B10" s="14" t="s">
        <v>622</v>
      </c>
      <c r="C10" s="14" t="s">
        <v>623</v>
      </c>
    </row>
    <row r="11" customFormat="false" ht="31.5" hidden="false" customHeight="true" outlineLevel="0" collapsed="false">
      <c r="A11" s="14" t="s">
        <v>624</v>
      </c>
      <c r="B11" s="14" t="s">
        <v>625</v>
      </c>
      <c r="C11" s="14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</cols>
  <sheetData>
    <row r="1" customFormat="false" ht="16.15" hidden="false" customHeight="false" outlineLevel="0" collapsed="false">
      <c r="A1" s="16" t="s">
        <v>627</v>
      </c>
    </row>
    <row r="3" customFormat="false" ht="15" hidden="false" customHeight="false" outlineLevel="0" collapsed="false">
      <c r="A3" s="17" t="s">
        <v>628</v>
      </c>
      <c r="B3" s="17" t="s">
        <v>629</v>
      </c>
      <c r="C3" s="17" t="s">
        <v>630</v>
      </c>
    </row>
    <row r="4" customFormat="false" ht="15" hidden="false" customHeight="false" outlineLevel="0" collapsed="false">
      <c r="A4" s="18" t="s">
        <v>72</v>
      </c>
      <c r="B4" s="18" t="n">
        <f aca="false">COUNTIF('Use Case Master'!$B$2:$B$95,A4)</f>
        <v>13</v>
      </c>
      <c r="C4" s="18" t="n">
        <f aca="false">COUNTIFS('Use Case Master'!$B$2:$B$95,A4,'Use Case Master'!$N$2:$N$95,"Very high")+COUNTIFS('Use Case Master'!$B$2:$B$95,A4,'Use Case Master'!$N$2:$N$95,"High")</f>
        <v>11</v>
      </c>
    </row>
    <row r="5" customFormat="false" ht="15" hidden="false" customHeight="false" outlineLevel="0" collapsed="false">
      <c r="A5" s="18" t="s">
        <v>101</v>
      </c>
      <c r="B5" s="18" t="n">
        <f aca="false">COUNTIF('Use Case Master'!$B$2:$B$95,A5)</f>
        <v>18</v>
      </c>
      <c r="C5" s="18" t="n">
        <f aca="false">COUNTIFS('Use Case Master'!$B$2:$B$95,A5,'Use Case Master'!$N$2:$N$95,"Very high")+COUNTIFS('Use Case Master'!$B$2:$B$95,A5,'Use Case Master'!$N$2:$N$95,"High")</f>
        <v>10</v>
      </c>
    </row>
    <row r="6" customFormat="false" ht="15" hidden="false" customHeight="false" outlineLevel="0" collapsed="false">
      <c r="A6" s="18" t="s">
        <v>285</v>
      </c>
      <c r="B6" s="18" t="n">
        <f aca="false">COUNTIF('Use Case Master'!$B$2:$B$95,A6)</f>
        <v>7</v>
      </c>
      <c r="C6" s="18" t="n">
        <f aca="false">COUNTIFS('Use Case Master'!$B$2:$B$95,A6,'Use Case Master'!$N$2:$N$95,"Very high")+COUNTIFS('Use Case Master'!$B$2:$B$95,A6,'Use Case Master'!$N$2:$N$95,"High")</f>
        <v>3</v>
      </c>
    </row>
    <row r="7" customFormat="false" ht="15" hidden="false" customHeight="false" outlineLevel="0" collapsed="false">
      <c r="A7" s="18" t="s">
        <v>32</v>
      </c>
      <c r="B7" s="18" t="n">
        <f aca="false">COUNTIF('Use Case Master'!$B$2:$B$95,A7)</f>
        <v>10</v>
      </c>
      <c r="C7" s="18" t="n">
        <f aca="false">COUNTIFS('Use Case Master'!$B$2:$B$95,A7,'Use Case Master'!$N$2:$N$95,"Very high")+COUNTIFS('Use Case Master'!$B$2:$B$95,A7,'Use Case Master'!$N$2:$N$95,"High")</f>
        <v>6</v>
      </c>
    </row>
    <row r="8" customFormat="false" ht="15" hidden="false" customHeight="false" outlineLevel="0" collapsed="false">
      <c r="A8" s="18" t="s">
        <v>130</v>
      </c>
      <c r="B8" s="18" t="n">
        <f aca="false">COUNTIF('Use Case Master'!$B$2:$B$95,A8)</f>
        <v>5</v>
      </c>
      <c r="C8" s="18" t="n">
        <f aca="false">COUNTIFS('Use Case Master'!$B$2:$B$95,A8,'Use Case Master'!$N$2:$N$95,"Very high")+COUNTIFS('Use Case Master'!$B$2:$B$95,A8,'Use Case Master'!$N$2:$N$95,"High")</f>
        <v>1</v>
      </c>
    </row>
    <row r="9" customFormat="false" ht="15" hidden="false" customHeight="false" outlineLevel="0" collapsed="false">
      <c r="A9" s="18" t="s">
        <v>522</v>
      </c>
      <c r="B9" s="18" t="n">
        <f aca="false">COUNTIF('Use Case Master'!$B$2:$B$95,A9)</f>
        <v>1</v>
      </c>
      <c r="C9" s="18" t="n">
        <f aca="false">COUNTIFS('Use Case Master'!$B$2:$B$95,A9,'Use Case Master'!$N$2:$N$95,"Very high")+COUNTIFS('Use Case Master'!$B$2:$B$95,A9,'Use Case Master'!$N$2:$N$95,"High")</f>
        <v>0</v>
      </c>
    </row>
    <row r="11" customFormat="false" ht="15" hidden="false" customHeight="false" outlineLevel="0" collapsed="false">
      <c r="A11" s="17" t="s">
        <v>631</v>
      </c>
      <c r="B11" s="17" t="s">
        <v>629</v>
      </c>
      <c r="C11" s="17" t="s">
        <v>630</v>
      </c>
    </row>
    <row r="12" customFormat="false" ht="15" hidden="false" customHeight="false" outlineLevel="0" collapsed="false">
      <c r="A12" s="18" t="s">
        <v>33</v>
      </c>
      <c r="B12" s="18" t="n">
        <f aca="false">COUNTIF('Use Case Master'!$C$2:$C$95,A12)</f>
        <v>14</v>
      </c>
      <c r="C12" s="18" t="n">
        <f aca="false">COUNTIFS('Use Case Master'!$C$2:$C$95,A12,'Use Case Master'!$N$2:$N$95,"Very high")+COUNTIFS('Use Case Master'!$C$2:$C$95,A12,'Use Case Master'!$N$2:$N$95,"High")</f>
        <v>9</v>
      </c>
    </row>
    <row r="13" customFormat="false" ht="15" hidden="false" customHeight="false" outlineLevel="0" collapsed="false">
      <c r="A13" s="18" t="s">
        <v>176</v>
      </c>
      <c r="B13" s="18" t="n">
        <f aca="false">COUNTIF('Use Case Master'!$C$2:$C$95,A13)</f>
        <v>4</v>
      </c>
      <c r="C13" s="18" t="n">
        <f aca="false">COUNTIFS('Use Case Master'!$C$2:$C$95,A13,'Use Case Master'!$N$2:$N$95,"Very high")+COUNTIFS('Use Case Master'!$C$2:$C$95,A13,'Use Case Master'!$N$2:$N$95,"High")</f>
        <v>3</v>
      </c>
    </row>
    <row r="14" customFormat="false" ht="15" hidden="false" customHeight="false" outlineLevel="0" collapsed="false">
      <c r="A14" s="18" t="s">
        <v>211</v>
      </c>
      <c r="B14" s="18" t="n">
        <f aca="false">COUNTIF('Use Case Master'!$C$2:$C$95,A14)</f>
        <v>3</v>
      </c>
      <c r="C14" s="18" t="n">
        <f aca="false">COUNTIFS('Use Case Master'!$C$2:$C$95,A14,'Use Case Master'!$N$2:$N$95,"Very high")+COUNTIFS('Use Case Master'!$C$2:$C$95,A14,'Use Case Master'!$N$2:$N$95,"High")</f>
        <v>3</v>
      </c>
    </row>
    <row r="15" customFormat="false" ht="15" hidden="false" customHeight="false" outlineLevel="0" collapsed="false">
      <c r="A15" s="18" t="s">
        <v>239</v>
      </c>
      <c r="B15" s="18" t="n">
        <f aca="false">COUNTIF('Use Case Master'!$C$2:$C$95,A15)</f>
        <v>4</v>
      </c>
      <c r="C15" s="18" t="n">
        <f aca="false">COUNTIFS('Use Case Master'!$C$2:$C$95,A15,'Use Case Master'!$N$2:$N$95,"Very high")+COUNTIFS('Use Case Master'!$C$2:$C$95,A15,'Use Case Master'!$N$2:$N$95,"High")</f>
        <v>3</v>
      </c>
    </row>
    <row r="16" customFormat="false" ht="15" hidden="false" customHeight="false" outlineLevel="0" collapsed="false">
      <c r="A16" s="18" t="s">
        <v>276</v>
      </c>
      <c r="B16" s="18" t="n">
        <f aca="false">COUNTIF('Use Case Master'!$C$2:$C$95,A16)</f>
        <v>2</v>
      </c>
      <c r="C16" s="18" t="n">
        <f aca="false">COUNTIFS('Use Case Master'!$C$2:$C$95,A16,'Use Case Master'!$N$2:$N$95,"Very high")+COUNTIFS('Use Case Master'!$C$2:$C$95,A16,'Use Case Master'!$N$2:$N$95,"High")</f>
        <v>1</v>
      </c>
    </row>
    <row r="17" customFormat="false" ht="15" hidden="false" customHeight="false" outlineLevel="0" collapsed="false">
      <c r="A17" s="18" t="s">
        <v>296</v>
      </c>
      <c r="B17" s="18" t="n">
        <f aca="false">COUNTIF('Use Case Master'!$C$2:$C$95,A17)</f>
        <v>3</v>
      </c>
      <c r="C17" s="18" t="n">
        <f aca="false">COUNTIFS('Use Case Master'!$C$2:$C$95,A17,'Use Case Master'!$N$2:$N$95,"Very high")+COUNTIFS('Use Case Master'!$C$2:$C$95,A17,'Use Case Master'!$N$2:$N$95,"High")</f>
        <v>2</v>
      </c>
    </row>
    <row r="18" customFormat="false" ht="15" hidden="false" customHeight="false" outlineLevel="0" collapsed="false">
      <c r="A18" s="18" t="s">
        <v>324</v>
      </c>
      <c r="B18" s="18" t="n">
        <f aca="false">COUNTIF('Use Case Master'!$C$2:$C$95,A18)</f>
        <v>4</v>
      </c>
      <c r="C18" s="18" t="n">
        <f aca="false">COUNTIFS('Use Case Master'!$C$2:$C$95,A18,'Use Case Master'!$N$2:$N$95,"Very high")+COUNTIFS('Use Case Master'!$C$2:$C$95,A18,'Use Case Master'!$N$2:$N$95,"High")</f>
        <v>2</v>
      </c>
    </row>
    <row r="19" customFormat="false" ht="15" hidden="false" customHeight="false" outlineLevel="0" collapsed="false">
      <c r="A19" s="18" t="s">
        <v>358</v>
      </c>
      <c r="B19" s="18" t="n">
        <f aca="false">COUNTIF('Use Case Master'!$C$2:$C$95,A19)</f>
        <v>2</v>
      </c>
      <c r="C19" s="18" t="n">
        <f aca="false">COUNTIFS('Use Case Master'!$C$2:$C$95,A19,'Use Case Master'!$N$2:$N$95,"Very high")+COUNTIFS('Use Case Master'!$C$2:$C$95,A19,'Use Case Master'!$N$2:$N$95,"High")</f>
        <v>0</v>
      </c>
    </row>
    <row r="20" customFormat="false" ht="15" hidden="false" customHeight="false" outlineLevel="0" collapsed="false">
      <c r="A20" s="18" t="s">
        <v>376</v>
      </c>
      <c r="B20" s="18" t="n">
        <f aca="false">COUNTIF('Use Case Master'!$C$2:$C$95,A20)</f>
        <v>2</v>
      </c>
      <c r="C20" s="18" t="n">
        <f aca="false">COUNTIFS('Use Case Master'!$C$2:$C$95,A20,'Use Case Master'!$N$2:$N$95,"Very high")+COUNTIFS('Use Case Master'!$C$2:$C$95,A20,'Use Case Master'!$N$2:$N$95,"High")</f>
        <v>2</v>
      </c>
    </row>
    <row r="21" customFormat="false" ht="15" hidden="false" customHeight="false" outlineLevel="0" collapsed="false">
      <c r="A21" s="18" t="s">
        <v>394</v>
      </c>
      <c r="B21" s="18" t="n">
        <f aca="false">COUNTIF('Use Case Master'!$C$2:$C$95,A21)</f>
        <v>2</v>
      </c>
      <c r="C21" s="18" t="n">
        <f aca="false">COUNTIFS('Use Case Master'!$C$2:$C$95,A21,'Use Case Master'!$N$2:$N$95,"Very high")+COUNTIFS('Use Case Master'!$C$2:$C$95,A21,'Use Case Master'!$N$2:$N$95,"High")</f>
        <v>1</v>
      </c>
    </row>
    <row r="22" customFormat="false" ht="15" hidden="false" customHeight="false" outlineLevel="0" collapsed="false">
      <c r="A22" s="18" t="s">
        <v>411</v>
      </c>
      <c r="B22" s="18" t="n">
        <f aca="false">COUNTIF('Use Case Master'!$C$2:$C$95,A22)</f>
        <v>2</v>
      </c>
      <c r="C22" s="18" t="n">
        <f aca="false">COUNTIFS('Use Case Master'!$C$2:$C$95,A22,'Use Case Master'!$N$2:$N$95,"Very high")+COUNTIFS('Use Case Master'!$C$2:$C$95,A22,'Use Case Master'!$N$2:$N$95,"High")</f>
        <v>1</v>
      </c>
    </row>
    <row r="23" customFormat="false" ht="15" hidden="false" customHeight="false" outlineLevel="0" collapsed="false">
      <c r="A23" s="18" t="s">
        <v>428</v>
      </c>
      <c r="B23" s="18" t="n">
        <f aca="false">COUNTIF('Use Case Master'!$C$2:$C$95,A23)</f>
        <v>1</v>
      </c>
      <c r="C23" s="18" t="n">
        <f aca="false">COUNTIFS('Use Case Master'!$C$2:$C$95,A23,'Use Case Master'!$N$2:$N$95,"Very high")+COUNTIFS('Use Case Master'!$C$2:$C$95,A23,'Use Case Master'!$N$2:$N$95,"High")</f>
        <v>0</v>
      </c>
    </row>
    <row r="24" customFormat="false" ht="15" hidden="false" customHeight="false" outlineLevel="0" collapsed="false">
      <c r="A24" s="18" t="s">
        <v>437</v>
      </c>
      <c r="B24" s="18" t="n">
        <f aca="false">COUNTIF('Use Case Master'!$C$2:$C$95,A24)</f>
        <v>2</v>
      </c>
      <c r="C24" s="18" t="n">
        <f aca="false">COUNTIFS('Use Case Master'!$C$2:$C$95,A24,'Use Case Master'!$N$2:$N$95,"Very high")+COUNTIFS('Use Case Master'!$C$2:$C$95,A24,'Use Case Master'!$N$2:$N$95,"High")</f>
        <v>0</v>
      </c>
    </row>
    <row r="25" customFormat="false" ht="15" hidden="false" customHeight="false" outlineLevel="0" collapsed="false">
      <c r="A25" s="18" t="s">
        <v>454</v>
      </c>
      <c r="B25" s="18" t="n">
        <f aca="false">COUNTIF('Use Case Master'!$C$2:$C$95,A25)</f>
        <v>2</v>
      </c>
      <c r="C25" s="18" t="n">
        <f aca="false">COUNTIFS('Use Case Master'!$C$2:$C$95,A25,'Use Case Master'!$N$2:$N$95,"Very high")+COUNTIFS('Use Case Master'!$C$2:$C$95,A25,'Use Case Master'!$N$2:$N$95,"High")</f>
        <v>2</v>
      </c>
    </row>
    <row r="26" customFormat="false" ht="15" hidden="false" customHeight="false" outlineLevel="0" collapsed="false">
      <c r="A26" s="18" t="s">
        <v>471</v>
      </c>
      <c r="B26" s="18" t="n">
        <f aca="false">COUNTIF('Use Case Master'!$C$2:$C$95,A26)</f>
        <v>2</v>
      </c>
      <c r="C26" s="18" t="n">
        <f aca="false">COUNTIFS('Use Case Master'!$C$2:$C$95,A26,'Use Case Master'!$N$2:$N$95,"Very high")+COUNTIFS('Use Case Master'!$C$2:$C$95,A26,'Use Case Master'!$N$2:$N$95,"High")</f>
        <v>0</v>
      </c>
    </row>
    <row r="27" customFormat="false" ht="15" hidden="false" customHeight="false" outlineLevel="0" collapsed="false">
      <c r="A27" s="18" t="s">
        <v>488</v>
      </c>
      <c r="B27" s="18" t="n">
        <f aca="false">COUNTIF('Use Case Master'!$C$2:$C$95,A27)</f>
        <v>2</v>
      </c>
      <c r="C27" s="18" t="n">
        <f aca="false">COUNTIFS('Use Case Master'!$C$2:$C$95,A27,'Use Case Master'!$N$2:$N$95,"Very high")+COUNTIFS('Use Case Master'!$C$2:$C$95,A27,'Use Case Master'!$N$2:$N$95,"High")</f>
        <v>0</v>
      </c>
    </row>
    <row r="28" customFormat="false" ht="15" hidden="false" customHeight="false" outlineLevel="0" collapsed="false">
      <c r="A28" s="18" t="s">
        <v>505</v>
      </c>
      <c r="B28" s="18" t="n">
        <f aca="false">COUNTIF('Use Case Master'!$C$2:$C$95,A28)</f>
        <v>2</v>
      </c>
      <c r="C28" s="18" t="n">
        <f aca="false">COUNTIFS('Use Case Master'!$C$2:$C$95,A28,'Use Case Master'!$N$2:$N$95,"Very high")+COUNTIFS('Use Case Master'!$C$2:$C$95,A28,'Use Case Master'!$N$2:$N$95,"High")</f>
        <v>2</v>
      </c>
    </row>
    <row r="29" customFormat="false" ht="15" hidden="false" customHeight="false" outlineLevel="0" collapsed="false">
      <c r="A29" s="18" t="s">
        <v>523</v>
      </c>
      <c r="B29" s="18" t="n">
        <f aca="false">COUNTIF('Use Case Master'!$C$2:$C$95,A29)</f>
        <v>1</v>
      </c>
      <c r="C29" s="18" t="n">
        <f aca="false">COUNTIFS('Use Case Master'!$C$2:$C$95,A29,'Use Case Master'!$N$2:$N$95,"Very high")+COUNTIFS('Use Case Master'!$C$2:$C$95,A29,'Use Case Master'!$N$2:$N$95,"High")</f>
        <v>0</v>
      </c>
    </row>
    <row r="31" customFormat="false" ht="15" hidden="false" customHeight="false" outlineLevel="0" collapsed="false">
      <c r="A31" s="17" t="s">
        <v>632</v>
      </c>
      <c r="B31" s="17" t="s">
        <v>629</v>
      </c>
      <c r="C31" s="17" t="s">
        <v>630</v>
      </c>
    </row>
    <row r="32" customFormat="false" ht="15" hidden="false" customHeight="false" outlineLevel="0" collapsed="false">
      <c r="A32" s="18" t="s">
        <v>85</v>
      </c>
      <c r="B32" s="18" t="n">
        <f aca="false">COUNTIF('Use Case Master'!$I$2:$I$95,A32)</f>
        <v>4</v>
      </c>
      <c r="C32" s="18" t="n">
        <f aca="false">COUNTIFS('Use Case Master'!$I$2:$I$95,A32,'Use Case Master'!$N$2:$N$95,"Very high")+COUNTIFS('Use Case Master'!$I$2:$I$95,A32,'Use Case Master'!$N$2:$N$95,"High")</f>
        <v>1</v>
      </c>
    </row>
    <row r="33" customFormat="false" ht="15" hidden="false" customHeight="false" outlineLevel="0" collapsed="false">
      <c r="A33" s="18" t="s">
        <v>39</v>
      </c>
      <c r="B33" s="18" t="n">
        <f aca="false">COUNTIF('Use Case Master'!$I$2:$I$95,A33)</f>
        <v>14</v>
      </c>
      <c r="C33" s="18" t="n">
        <f aca="false">COUNTIFS('Use Case Master'!$I$2:$I$95,A33,'Use Case Master'!$N$2:$N$95,"Very high")+COUNTIFS('Use Case Master'!$I$2:$I$95,A33,'Use Case Master'!$N$2:$N$95,"High")</f>
        <v>9</v>
      </c>
    </row>
    <row r="34" customFormat="false" ht="15" hidden="false" customHeight="false" outlineLevel="0" collapsed="false">
      <c r="A34" s="18" t="s">
        <v>134</v>
      </c>
      <c r="B34" s="18" t="n">
        <f aca="false">COUNTIF('Use Case Master'!$I$2:$I$95,A34)</f>
        <v>10</v>
      </c>
      <c r="C34" s="18" t="n">
        <f aca="false">COUNTIFS('Use Case Master'!$I$2:$I$95,A34,'Use Case Master'!$N$2:$N$95,"Very high")+COUNTIFS('Use Case Master'!$I$2:$I$95,A34,'Use Case Master'!$N$2:$N$95,"High")</f>
        <v>8</v>
      </c>
    </row>
    <row r="35" customFormat="false" ht="15" hidden="false" customHeight="false" outlineLevel="0" collapsed="false">
      <c r="A35" s="18" t="s">
        <v>76</v>
      </c>
      <c r="B35" s="18" t="n">
        <f aca="false">COUNTIF('Use Case Master'!$I$2:$I$95,A35)</f>
        <v>5</v>
      </c>
      <c r="C35" s="18" t="n">
        <f aca="false">COUNTIFS('Use Case Master'!$I$2:$I$95,A35,'Use Case Master'!$N$2:$N$95,"Very high")+COUNTIFS('Use Case Master'!$I$2:$I$95,A35,'Use Case Master'!$N$2:$N$95,"High")</f>
        <v>2</v>
      </c>
    </row>
    <row r="36" customFormat="false" ht="15" hidden="false" customHeight="false" outlineLevel="0" collapsed="false">
      <c r="A36" s="18" t="s">
        <v>555</v>
      </c>
      <c r="B36" s="18" t="n">
        <f aca="false">COUNTIF('Use Case Master'!$I$2:$I$95,A36)</f>
        <v>0</v>
      </c>
      <c r="C36" s="18" t="n">
        <f aca="false">COUNTIFS('Use Case Master'!$I$2:$I$95,A36,'Use Case Master'!$N$2:$N$95,"Very high")+COUNTIFS('Use Case Master'!$I$2:$I$95,A36,'Use Case Master'!$N$2:$N$95,"High")</f>
        <v>0</v>
      </c>
    </row>
    <row r="37" customFormat="false" ht="15" hidden="false" customHeight="false" outlineLevel="0" collapsed="false">
      <c r="A37" s="18" t="s">
        <v>561</v>
      </c>
      <c r="B37" s="18" t="n">
        <f aca="false">COUNTIF('Use Case Master'!$I$2:$I$95,A37)</f>
        <v>0</v>
      </c>
      <c r="C37" s="18" t="n">
        <f aca="false">COUNTIFS('Use Case Master'!$I$2:$I$95,A37,'Use Case Master'!$N$2:$N$95,"Very high")+COUNTIFS('Use Case Master'!$I$2:$I$95,A37,'Use Case Master'!$N$2:$N$95,"High")</f>
        <v>0</v>
      </c>
    </row>
    <row r="38" customFormat="false" ht="15" hidden="false" customHeight="false" outlineLevel="0" collapsed="false">
      <c r="A38" s="18" t="s">
        <v>567</v>
      </c>
      <c r="B38" s="18" t="n">
        <f aca="false">COUNTIF('Use Case Master'!$I$2:$I$95,A38)</f>
        <v>0</v>
      </c>
      <c r="C38" s="18" t="n">
        <f aca="false">COUNTIFS('Use Case Master'!$I$2:$I$95,A38,'Use Case Master'!$N$2:$N$95,"Very high")+COUNTIFS('Use Case Master'!$I$2:$I$95,A38,'Use Case Master'!$N$2:$N$95,"High")</f>
        <v>0</v>
      </c>
    </row>
    <row r="39" customFormat="false" ht="15" hidden="false" customHeight="false" outlineLevel="0" collapsed="false">
      <c r="A39" s="18" t="s">
        <v>106</v>
      </c>
      <c r="B39" s="18" t="n">
        <f aca="false">COUNTIF('Use Case Master'!$I$2:$I$95,A39)</f>
        <v>16</v>
      </c>
      <c r="C39" s="18" t="n">
        <f aca="false">COUNTIFS('Use Case Master'!$I$2:$I$95,A39,'Use Case Master'!$N$2:$N$95,"Very high")+COUNTIFS('Use Case Master'!$I$2:$I$95,A39,'Use Case Master'!$N$2:$N$95,"High")</f>
        <v>9</v>
      </c>
    </row>
    <row r="40" customFormat="false" ht="15" hidden="false" customHeight="false" outlineLevel="0" collapsed="false">
      <c r="A40" s="18" t="s">
        <v>290</v>
      </c>
      <c r="B40" s="18" t="n">
        <f aca="false">COUNTIF('Use Case Master'!$I$2:$I$95,A40)</f>
        <v>3</v>
      </c>
      <c r="C40" s="18" t="n">
        <f aca="false">COUNTIFS('Use Case Master'!$I$2:$I$95,A40,'Use Case Master'!$N$2:$N$95,"Very high")+COUNTIFS('Use Case Master'!$I$2:$I$95,A40,'Use Case Master'!$N$2:$N$95,"High")</f>
        <v>1</v>
      </c>
    </row>
    <row r="41" customFormat="false" ht="15" hidden="false" customHeight="false" outlineLevel="0" collapsed="false">
      <c r="A41" s="18" t="s">
        <v>302</v>
      </c>
      <c r="B41" s="18" t="n">
        <f aca="false">COUNTIF('Use Case Master'!$I$2:$I$95,A41)</f>
        <v>2</v>
      </c>
      <c r="C41" s="18" t="n">
        <f aca="false">COUNTIFS('Use Case Master'!$I$2:$I$95,A41,'Use Case Master'!$N$2:$N$95,"Very high")+COUNTIFS('Use Case Master'!$I$2:$I$95,A41,'Use Case Master'!$N$2:$N$95,"High")</f>
        <v>1</v>
      </c>
    </row>
    <row r="42" customFormat="false" ht="15" hidden="false" customHeight="false" outlineLevel="0" collapsed="false">
      <c r="A42" s="18" t="s">
        <v>588</v>
      </c>
      <c r="B42" s="18" t="n">
        <f aca="false">COUNTIF('Use Case Master'!$I$2:$I$95,A42)</f>
        <v>0</v>
      </c>
      <c r="C42" s="18" t="n">
        <f aca="false">COUNTIFS('Use Case Master'!$I$2:$I$95,A42,'Use Case Master'!$N$2:$N$95,"Very high")+COUNTIFS('Use Case Master'!$I$2:$I$95,A42,'Use Case Master'!$N$2:$N$95,"High")</f>
        <v>0</v>
      </c>
    </row>
    <row r="44" customFormat="false" ht="15" hidden="false" customHeight="false" outlineLevel="0" collapsed="false">
      <c r="A44" s="17" t="s">
        <v>633</v>
      </c>
      <c r="B44" s="17" t="s">
        <v>629</v>
      </c>
      <c r="C44" s="17" t="s">
        <v>630</v>
      </c>
    </row>
    <row r="45" customFormat="false" ht="15" hidden="false" customHeight="false" outlineLevel="0" collapsed="false">
      <c r="A45" s="18" t="s">
        <v>65</v>
      </c>
      <c r="B45" s="18" t="n">
        <f aca="false">COUNTIF('Use Case Master'!$H$2:$H$95,A45)</f>
        <v>14</v>
      </c>
      <c r="C45" s="18" t="n">
        <f aca="false">COUNTIFS('Use Case Master'!$H$2:$H$95,A45,'Use Case Master'!$N$2:$N$95,"Very high")+COUNTIFS('Use Case Master'!$H$2:$H$95,A45,'Use Case Master'!$N$2:$N$95,"High")</f>
        <v>8</v>
      </c>
    </row>
    <row r="46" customFormat="false" ht="15" hidden="false" customHeight="false" outlineLevel="0" collapsed="false">
      <c r="A46" s="18" t="s">
        <v>105</v>
      </c>
      <c r="B46" s="18" t="n">
        <f aca="false">COUNTIF('Use Case Master'!$H$2:$H$95,A46)</f>
        <v>4</v>
      </c>
      <c r="C46" s="18" t="n">
        <f aca="false">COUNTIFS('Use Case Master'!$H$2:$H$95,A46,'Use Case Master'!$N$2:$N$95,"Very high")+COUNTIFS('Use Case Master'!$H$2:$H$95,A46,'Use Case Master'!$N$2:$N$95,"High")</f>
        <v>2</v>
      </c>
    </row>
    <row r="47" customFormat="false" ht="15" hidden="false" customHeight="false" outlineLevel="0" collapsed="false">
      <c r="A47" s="18" t="s">
        <v>54</v>
      </c>
      <c r="B47" s="18" t="n">
        <f aca="false">COUNTIF('Use Case Master'!$H$2:$H$95,A47)</f>
        <v>6</v>
      </c>
      <c r="C47" s="18" t="n">
        <f aca="false">COUNTIFS('Use Case Master'!$H$2:$H$95,A47,'Use Case Master'!$N$2:$N$95,"Very high")+COUNTIFS('Use Case Master'!$H$2:$H$95,A47,'Use Case Master'!$N$2:$N$95,"High")</f>
        <v>2</v>
      </c>
    </row>
    <row r="48" customFormat="false" ht="15" hidden="false" customHeight="false" outlineLevel="0" collapsed="false">
      <c r="A48" s="18" t="s">
        <v>38</v>
      </c>
      <c r="B48" s="18" t="n">
        <f aca="false">COUNTIF('Use Case Master'!$H$2:$H$95,A48)</f>
        <v>11</v>
      </c>
      <c r="C48" s="18" t="n">
        <f aca="false">COUNTIFS('Use Case Master'!$H$2:$H$95,A48,'Use Case Master'!$N$2:$N$95,"Very high")+COUNTIFS('Use Case Master'!$H$2:$H$95,A48,'Use Case Master'!$N$2:$N$95,"High")</f>
        <v>7</v>
      </c>
    </row>
    <row r="49" customFormat="false" ht="15" hidden="false" customHeight="false" outlineLevel="0" collapsed="false">
      <c r="A49" s="18" t="s">
        <v>244</v>
      </c>
      <c r="B49" s="18" t="n">
        <f aca="false">COUNTIF('Use Case Master'!$H$2:$H$95,A49)</f>
        <v>2</v>
      </c>
      <c r="C49" s="18" t="n">
        <f aca="false">COUNTIFS('Use Case Master'!$H$2:$H$95,A49,'Use Case Master'!$N$2:$N$95,"Very high")+COUNTIFS('Use Case Master'!$H$2:$H$95,A49,'Use Case Master'!$N$2:$N$95,"High")</f>
        <v>1</v>
      </c>
    </row>
    <row r="50" customFormat="false" ht="15" hidden="false" customHeight="false" outlineLevel="0" collapsed="false">
      <c r="A50" s="18" t="s">
        <v>289</v>
      </c>
      <c r="B50" s="18" t="n">
        <f aca="false">COUNTIF('Use Case Master'!$H$2:$H$95,A50)</f>
        <v>4</v>
      </c>
      <c r="C50" s="18" t="n">
        <f aca="false">COUNTIFS('Use Case Master'!$H$2:$H$95,A50,'Use Case Master'!$N$2:$N$95,"Very high")+COUNTIFS('Use Case Master'!$H$2:$H$95,A50,'Use Case Master'!$N$2:$N$95,"High")</f>
        <v>1</v>
      </c>
    </row>
    <row r="51" customFormat="false" ht="15" hidden="false" customHeight="false" outlineLevel="0" collapsed="false">
      <c r="A51" s="18" t="s">
        <v>95</v>
      </c>
      <c r="B51" s="18" t="n">
        <f aca="false">COUNTIF('Use Case Master'!$H$2:$H$95,A51)</f>
        <v>6</v>
      </c>
      <c r="C51" s="18" t="n">
        <f aca="false">COUNTIFS('Use Case Master'!$H$2:$H$95,A51,'Use Case Master'!$N$2:$N$95,"Very high")+COUNTIFS('Use Case Master'!$H$2:$H$95,A51,'Use Case Master'!$N$2:$N$95,"High")</f>
        <v>6</v>
      </c>
    </row>
    <row r="52" customFormat="false" ht="15" hidden="false" customHeight="false" outlineLevel="0" collapsed="false">
      <c r="A52" s="18" t="s">
        <v>216</v>
      </c>
      <c r="B52" s="18" t="n">
        <f aca="false">COUNTIF('Use Case Master'!$H$2:$H$95,A52)</f>
        <v>1</v>
      </c>
      <c r="C52" s="18" t="n">
        <f aca="false">COUNTIFS('Use Case Master'!$H$2:$H$95,A52,'Use Case Master'!$N$2:$N$95,"Very high")+COUNTIFS('Use Case Master'!$H$2:$H$95,A52,'Use Case Master'!$N$2:$N$95,"High")</f>
        <v>1</v>
      </c>
    </row>
    <row r="53" customFormat="false" ht="15" hidden="false" customHeight="false" outlineLevel="0" collapsed="false">
      <c r="A53" s="18" t="s">
        <v>253</v>
      </c>
      <c r="B53" s="18" t="n">
        <f aca="false">COUNTIF('Use Case Master'!$H$2:$H$95,A53)</f>
        <v>1</v>
      </c>
      <c r="C53" s="18" t="n">
        <f aca="false">COUNTIFS('Use Case Master'!$H$2:$H$95,A53,'Use Case Master'!$N$2:$N$95,"Very high")+COUNTIFS('Use Case Master'!$H$2:$H$95,A53,'Use Case Master'!$N$2:$N$95,"High")</f>
        <v>1</v>
      </c>
    </row>
    <row r="54" customFormat="false" ht="15" hidden="false" customHeight="false" outlineLevel="0" collapsed="false">
      <c r="A54" s="18" t="s">
        <v>301</v>
      </c>
      <c r="B54" s="18" t="n">
        <f aca="false">COUNTIF('Use Case Master'!$H$2:$H$95,A54)</f>
        <v>2</v>
      </c>
      <c r="C54" s="18" t="n">
        <f aca="false">COUNTIFS('Use Case Master'!$H$2:$H$95,A54,'Use Case Master'!$N$2:$N$95,"Very high")+COUNTIFS('Use Case Master'!$H$2:$H$95,A54,'Use Case Master'!$N$2:$N$95,"High")</f>
        <v>1</v>
      </c>
    </row>
    <row r="55" customFormat="false" ht="15" hidden="false" customHeight="false" outlineLevel="0" collapsed="false">
      <c r="A55" s="18" t="s">
        <v>170</v>
      </c>
      <c r="B55" s="18" t="n">
        <f aca="false">COUNTIF('Use Case Master'!$H$2:$H$95,A55)</f>
        <v>2</v>
      </c>
      <c r="C55" s="18" t="n">
        <f aca="false">COUNTIFS('Use Case Master'!$H$2:$H$95,A55,'Use Case Master'!$N$2:$N$95,"Very high")+COUNTIFS('Use Case Master'!$H$2:$H$95,A55,'Use Case Master'!$N$2:$N$95,"High")</f>
        <v>0</v>
      </c>
    </row>
    <row r="56" customFormat="false" ht="15" hidden="false" customHeight="false" outlineLevel="0" collapsed="false">
      <c r="A56" s="18" t="s">
        <v>262</v>
      </c>
      <c r="B56" s="18" t="n">
        <f aca="false">COUNTIF('Use Case Master'!$H$2:$H$95,A56)</f>
        <v>1</v>
      </c>
      <c r="C56" s="18" t="n">
        <f aca="false">COUNTIFS('Use Case Master'!$H$2:$H$95,A56,'Use Case Master'!$N$2:$N$95,"Very high")+COUNTIFS('Use Case Master'!$H$2:$H$95,A56,'Use Case Master'!$N$2:$N$95,"High")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30"/>
  </cols>
  <sheetData>
    <row r="1" customFormat="false" ht="15" hidden="false" customHeight="false" outlineLevel="0" collapsed="false">
      <c r="A1" s="17" t="s">
        <v>9</v>
      </c>
      <c r="B1" s="17" t="s">
        <v>10</v>
      </c>
      <c r="C1" s="17" t="s">
        <v>11</v>
      </c>
      <c r="D1" s="17" t="s">
        <v>15</v>
      </c>
      <c r="E1" s="17" t="s">
        <v>530</v>
      </c>
      <c r="F1" s="17" t="s">
        <v>21</v>
      </c>
      <c r="G1" s="17" t="s">
        <v>177</v>
      </c>
      <c r="H1" s="17" t="s">
        <v>22</v>
      </c>
      <c r="I1" s="17" t="s">
        <v>634</v>
      </c>
    </row>
    <row r="2" customFormat="false" ht="15" hidden="false" customHeight="false" outlineLevel="0" collapsed="false">
      <c r="A2" s="18" t="s">
        <v>72</v>
      </c>
      <c r="B2" s="18" t="s">
        <v>33</v>
      </c>
      <c r="C2" s="18" t="s">
        <v>34</v>
      </c>
      <c r="D2" s="18" t="s">
        <v>65</v>
      </c>
      <c r="E2" s="18" t="s">
        <v>85</v>
      </c>
      <c r="F2" s="18" t="s">
        <v>44</v>
      </c>
      <c r="G2" s="18" t="s">
        <v>45</v>
      </c>
      <c r="H2" s="18" t="s">
        <v>45</v>
      </c>
      <c r="I2" s="18" t="s">
        <v>47</v>
      </c>
    </row>
    <row r="3" customFormat="false" ht="15" hidden="false" customHeight="false" outlineLevel="0" collapsed="false">
      <c r="A3" s="18" t="s">
        <v>101</v>
      </c>
      <c r="B3" s="18" t="s">
        <v>176</v>
      </c>
      <c r="C3" s="18" t="s">
        <v>61</v>
      </c>
      <c r="D3" s="18" t="s">
        <v>105</v>
      </c>
      <c r="E3" s="18" t="s">
        <v>39</v>
      </c>
      <c r="F3" s="18" t="s">
        <v>59</v>
      </c>
      <c r="G3" s="18" t="s">
        <v>70</v>
      </c>
      <c r="H3" s="18" t="s">
        <v>70</v>
      </c>
      <c r="I3" s="18" t="s">
        <v>48</v>
      </c>
    </row>
    <row r="4" customFormat="false" ht="15" hidden="false" customHeight="false" outlineLevel="0" collapsed="false">
      <c r="A4" s="18" t="s">
        <v>285</v>
      </c>
      <c r="B4" s="18" t="s">
        <v>211</v>
      </c>
      <c r="C4" s="18" t="s">
        <v>91</v>
      </c>
      <c r="D4" s="18" t="s">
        <v>54</v>
      </c>
      <c r="E4" s="18" t="s">
        <v>134</v>
      </c>
      <c r="F4" s="18" t="s">
        <v>70</v>
      </c>
      <c r="G4" s="18" t="s">
        <v>59</v>
      </c>
      <c r="H4" s="18" t="s">
        <v>59</v>
      </c>
      <c r="I4" s="18" t="s">
        <v>635</v>
      </c>
    </row>
    <row r="5" customFormat="false" ht="15" hidden="false" customHeight="false" outlineLevel="0" collapsed="false">
      <c r="A5" s="18" t="s">
        <v>32</v>
      </c>
      <c r="B5" s="18" t="s">
        <v>239</v>
      </c>
      <c r="C5" s="18" t="s">
        <v>112</v>
      </c>
      <c r="D5" s="18" t="s">
        <v>38</v>
      </c>
      <c r="E5" s="18" t="s">
        <v>76</v>
      </c>
      <c r="F5" s="18" t="s">
        <v>45</v>
      </c>
    </row>
    <row r="6" customFormat="false" ht="15" hidden="false" customHeight="false" outlineLevel="0" collapsed="false">
      <c r="A6" s="18" t="s">
        <v>130</v>
      </c>
      <c r="B6" s="18" t="s">
        <v>276</v>
      </c>
      <c r="C6" s="18" t="s">
        <v>121</v>
      </c>
      <c r="D6" s="18" t="s">
        <v>244</v>
      </c>
      <c r="E6" s="18" t="s">
        <v>555</v>
      </c>
    </row>
    <row r="7" customFormat="false" ht="15" hidden="false" customHeight="false" outlineLevel="0" collapsed="false">
      <c r="A7" s="18" t="s">
        <v>522</v>
      </c>
      <c r="B7" s="18" t="s">
        <v>296</v>
      </c>
      <c r="C7" s="18" t="s">
        <v>140</v>
      </c>
      <c r="D7" s="18" t="s">
        <v>289</v>
      </c>
      <c r="E7" s="18" t="s">
        <v>561</v>
      </c>
    </row>
    <row r="8" customFormat="false" ht="15" hidden="false" customHeight="false" outlineLevel="0" collapsed="false">
      <c r="B8" s="18" t="s">
        <v>324</v>
      </c>
      <c r="C8" s="18" t="s">
        <v>149</v>
      </c>
      <c r="D8" s="18" t="s">
        <v>95</v>
      </c>
      <c r="E8" s="18" t="s">
        <v>567</v>
      </c>
    </row>
    <row r="9" customFormat="false" ht="15" hidden="false" customHeight="false" outlineLevel="0" collapsed="false">
      <c r="B9" s="18" t="s">
        <v>358</v>
      </c>
      <c r="C9" s="18" t="s">
        <v>325</v>
      </c>
      <c r="D9" s="18" t="s">
        <v>216</v>
      </c>
      <c r="E9" s="18" t="s">
        <v>106</v>
      </c>
    </row>
    <row r="10" customFormat="false" ht="15" hidden="false" customHeight="false" outlineLevel="0" collapsed="false">
      <c r="B10" s="18" t="s">
        <v>376</v>
      </c>
      <c r="C10" s="18" t="s">
        <v>177</v>
      </c>
      <c r="D10" s="18" t="s">
        <v>253</v>
      </c>
      <c r="E10" s="18" t="s">
        <v>290</v>
      </c>
    </row>
    <row r="11" customFormat="false" ht="15" hidden="false" customHeight="false" outlineLevel="0" collapsed="false">
      <c r="B11" s="18" t="s">
        <v>394</v>
      </c>
      <c r="C11" s="18" t="s">
        <v>212</v>
      </c>
      <c r="D11" s="18" t="s">
        <v>301</v>
      </c>
      <c r="E11" s="18" t="s">
        <v>302</v>
      </c>
    </row>
    <row r="12" customFormat="false" ht="15" hidden="false" customHeight="false" outlineLevel="0" collapsed="false">
      <c r="B12" s="18" t="s">
        <v>411</v>
      </c>
      <c r="C12" s="18" t="s">
        <v>230</v>
      </c>
      <c r="D12" s="18" t="s">
        <v>170</v>
      </c>
      <c r="E12" s="18" t="s">
        <v>588</v>
      </c>
    </row>
    <row r="13" customFormat="false" ht="15" hidden="false" customHeight="false" outlineLevel="0" collapsed="false">
      <c r="B13" s="18" t="s">
        <v>428</v>
      </c>
      <c r="C13" s="18" t="s">
        <v>240</v>
      </c>
      <c r="D13" s="18" t="s">
        <v>262</v>
      </c>
    </row>
    <row r="14" customFormat="false" ht="15" hidden="false" customHeight="false" outlineLevel="0" collapsed="false">
      <c r="B14" s="18" t="s">
        <v>437</v>
      </c>
      <c r="C14" s="18" t="s">
        <v>297</v>
      </c>
    </row>
    <row r="15" customFormat="false" ht="15" hidden="false" customHeight="false" outlineLevel="0" collapsed="false">
      <c r="B15" s="18" t="s">
        <v>454</v>
      </c>
      <c r="C15" s="18" t="s">
        <v>636</v>
      </c>
    </row>
    <row r="16" customFormat="false" ht="15" hidden="false" customHeight="false" outlineLevel="0" collapsed="false">
      <c r="B16" s="18" t="s">
        <v>471</v>
      </c>
      <c r="C16" s="18" t="s">
        <v>194</v>
      </c>
    </row>
    <row r="17" customFormat="false" ht="15" hidden="false" customHeight="false" outlineLevel="0" collapsed="false">
      <c r="B17" s="18" t="s">
        <v>488</v>
      </c>
      <c r="C17" s="18" t="s">
        <v>359</v>
      </c>
    </row>
    <row r="18" customFormat="false" ht="15" hidden="false" customHeight="false" outlineLevel="0" collapsed="false">
      <c r="B18" s="18" t="s">
        <v>505</v>
      </c>
      <c r="C18" s="18" t="s">
        <v>377</v>
      </c>
    </row>
    <row r="19" customFormat="false" ht="15" hidden="false" customHeight="false" outlineLevel="0" collapsed="false">
      <c r="B19" s="18" t="s">
        <v>523</v>
      </c>
      <c r="C19" s="18" t="s">
        <v>158</v>
      </c>
    </row>
    <row r="25" customFormat="false" ht="15" hidden="false" customHeight="false" outlineLevel="0" collapsed="false">
      <c r="A25" s="19" t="s">
        <v>637</v>
      </c>
    </row>
    <row r="26" customFormat="false" ht="15" hidden="false" customHeight="false" outlineLevel="0" collapsed="false">
      <c r="A26" s="18" t="s">
        <v>638</v>
      </c>
      <c r="B26" s="20" t="n">
        <v>0.7</v>
      </c>
    </row>
    <row r="27" customFormat="false" ht="15" hidden="false" customHeight="false" outlineLevel="0" collapsed="false">
      <c r="A27" s="21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2026-10-14T18:12:10Z</dcterms:created>
  <dc:creator>openpyxl</dc:creator>
  <dc:description/>
  <dc:language>en-US</dc:language>
  <cp:lastModifiedBy/>
  <dcterms:modified xsi:type="dcterms:W3CDTF">2026-10-14T18:12:10Z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